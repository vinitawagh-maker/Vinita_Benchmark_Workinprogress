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ta.wagh\Projects\original Mike file\public\data\benchmarking\All Other Projects\"/>
    </mc:Choice>
  </mc:AlternateContent>
  <xr:revisionPtr revIDLastSave="0" documentId="13_ncr:1_{6CFC5FEE-CBFF-4A1A-B3C0-FEE85885D0E6}" xr6:coauthVersionLast="47" xr6:coauthVersionMax="47" xr10:uidLastSave="{00000000-0000-0000-0000-000000000000}"/>
  <bookViews>
    <workbookView xWindow="-108" yWindow="-108" windowWidth="23256" windowHeight="12456" xr2:uid="{33EB0D9E-A9D5-4414-9405-459D8D427B0E}"/>
  </bookViews>
  <sheets>
    <sheet name="2. Key Quantities (2)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G33" i="2"/>
  <c r="D55" i="2"/>
  <c r="D54" i="2"/>
  <c r="D53" i="2"/>
  <c r="D52" i="2"/>
  <c r="D32" i="2"/>
  <c r="D31" i="2"/>
  <c r="D30" i="2"/>
  <c r="D29" i="2"/>
  <c r="D28" i="2"/>
  <c r="D27" i="2"/>
  <c r="D26" i="2"/>
  <c r="D25" i="2"/>
  <c r="D24" i="2"/>
  <c r="D3" i="2"/>
  <c r="C3" i="2"/>
  <c r="C27" i="2" s="1"/>
  <c r="C30" i="2" l="1"/>
</calcChain>
</file>

<file path=xl/sharedStrings.xml><?xml version="1.0" encoding="utf-8"?>
<sst xmlns="http://schemas.openxmlformats.org/spreadsheetml/2006/main" count="133" uniqueCount="76">
  <si>
    <t>Low End (2025 US, USD)</t>
  </si>
  <si>
    <t>High End (2025 US, USD)</t>
  </si>
  <si>
    <t>*can provide CAN rates in CAD down the road</t>
  </si>
  <si>
    <t>Discipline</t>
  </si>
  <si>
    <t>Key Quantity</t>
  </si>
  <si>
    <t>Qty.</t>
  </si>
  <si>
    <t>Discipline Lead</t>
  </si>
  <si>
    <t>Notes</t>
  </si>
  <si>
    <t>Low Resource</t>
  </si>
  <si>
    <t>Low Rate</t>
  </si>
  <si>
    <t>High Resource</t>
  </si>
  <si>
    <t>High Rate</t>
  </si>
  <si>
    <t>Roadway</t>
  </si>
  <si>
    <t xml:space="preserve">Total Alignment Length (LF) </t>
  </si>
  <si>
    <t>Civ.01</t>
  </si>
  <si>
    <t>Civ.02</t>
  </si>
  <si>
    <t>[Segment/Scope Detail]</t>
  </si>
  <si>
    <t>Drainage</t>
  </si>
  <si>
    <t xml:space="preserve">Total Project Area (Acres) </t>
  </si>
  <si>
    <t>Walls</t>
  </si>
  <si>
    <t xml:space="preserve">Wall Area (SF) </t>
  </si>
  <si>
    <t>Str.01</t>
  </si>
  <si>
    <t>Str.02</t>
  </si>
  <si>
    <t>Bridges</t>
  </si>
  <si>
    <t>Bridge Deck Area (SF) - See Tab 3</t>
  </si>
  <si>
    <t>MOT</t>
  </si>
  <si>
    <t xml:space="preserve">Alignment Length (LF) </t>
  </si>
  <si>
    <t>Match Roadway</t>
  </si>
  <si>
    <t>Utilities</t>
  </si>
  <si>
    <t xml:space="preserve">Relocation Count (EA) </t>
  </si>
  <si>
    <t>Track</t>
  </si>
  <si>
    <t xml:space="preserve">Track Feet (TF) </t>
  </si>
  <si>
    <t>Systrk.01</t>
  </si>
  <si>
    <t>Systrk.02</t>
  </si>
  <si>
    <t>Traffic</t>
  </si>
  <si>
    <t>Geotechnical</t>
  </si>
  <si>
    <t xml:space="preserve">EA of Walls + EA Bridge (EA) </t>
  </si>
  <si>
    <t>Geo.01</t>
  </si>
  <si>
    <t>Geo.02</t>
  </si>
  <si>
    <t>Environmental</t>
  </si>
  <si>
    <t xml:space="preserve">Permits (EA) </t>
  </si>
  <si>
    <t>Indirects (Design Mgmt)</t>
  </si>
  <si>
    <t>InEight Estimate Resource</t>
  </si>
  <si>
    <t>U.S. ($USD)</t>
  </si>
  <si>
    <t>Wage</t>
  </si>
  <si>
    <t>Indirect - Design Mgmt 6</t>
  </si>
  <si>
    <t>DM.06</t>
  </si>
  <si>
    <t>Indirect - Design Mgmt 5</t>
  </si>
  <si>
    <t xml:space="preserve">DM.05 </t>
  </si>
  <si>
    <t>Indirect - Design Mgmt 4</t>
  </si>
  <si>
    <t>DM.04</t>
  </si>
  <si>
    <t>Indirect - Design Mgmt 3</t>
  </si>
  <si>
    <t xml:space="preserve">DM.03 </t>
  </si>
  <si>
    <t xml:space="preserve">We use this as default for indirect hours </t>
  </si>
  <si>
    <t>Indirect - Design Mgmt 2</t>
  </si>
  <si>
    <t>DM.02</t>
  </si>
  <si>
    <t xml:space="preserve">Indirect - Design Mgmt 1 </t>
  </si>
  <si>
    <t>DM.01</t>
  </si>
  <si>
    <t>Quality Management</t>
  </si>
  <si>
    <t>QLT.01</t>
  </si>
  <si>
    <t>Start with 6:1 ratio directs to indirects to determine indirect hours once direct hours are determined from discipline benchmarks</t>
  </si>
  <si>
    <t>Ideally AI will tell us what that ratio should be but for now suggest default 6:1 with ability to slide, have seen anywhere from 4:1 to 15:1</t>
  </si>
  <si>
    <t>Ultimately would be good for AI to do bottoms up approach, i.e we need:</t>
  </si>
  <si>
    <t>Resource</t>
  </si>
  <si>
    <t>FTE</t>
  </si>
  <si>
    <t>Duration (wks)</t>
  </si>
  <si>
    <t>Hours</t>
  </si>
  <si>
    <t>Rate</t>
  </si>
  <si>
    <t>DM</t>
  </si>
  <si>
    <t>Dm.04</t>
  </si>
  <si>
    <t>DDM</t>
  </si>
  <si>
    <t>QLT</t>
  </si>
  <si>
    <t>Sponsor</t>
  </si>
  <si>
    <t>TSCD and ESDC</t>
  </si>
  <si>
    <t>TW.01</t>
  </si>
  <si>
    <t>TW.02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</si>
</sst>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5" formatCode="0.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44" fontId="0" fillId="0" borderId="0" xfId="1" applyFont="1"/>
    <xf numFmtId="0" fontId="3" fillId="0" borderId="0" xfId="0" applyFont="1"/>
    <xf numFmtId="0" fontId="0" fillId="0" borderId="0" xfId="1" applyNumberFormat="1" applyFont="1"/>
    <xf numFmtId="0" fontId="2" fillId="0" borderId="0" xfId="0" applyFont="1"/>
    <xf numFmtId="44" fontId="0" fillId="2" borderId="1" xfId="1" applyFont="1" applyFill="1" applyBorder="1"/>
    <xf numFmtId="44" fontId="0" fillId="0" borderId="1" xfId="1" applyFont="1" applyBorder="1"/>
    <xf numFmtId="0" fontId="4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8" fontId="6" fillId="0" borderId="9" xfId="0" applyNumberFormat="1" applyFont="1" applyBorder="1" applyAlignment="1">
      <alignment vertical="center"/>
    </xf>
    <xf numFmtId="8" fontId="6" fillId="0" borderId="8" xfId="0" applyNumberFormat="1" applyFont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8" fontId="6" fillId="4" borderId="8" xfId="0" applyNumberFormat="1" applyFont="1" applyFill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8" fontId="7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0" xfId="0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10">
    <dxf>
      <font>
        <b val="0"/>
      </font>
      <numFmt numFmtId="0" formatCode="General"/>
    </dxf>
    <dxf>
      <font>
        <b val="0"/>
      </font>
      <numFmt numFmtId="165" formatCode="0.000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iedrive.kiewit.com/personal/vinita_wagh_kiewit_com/Documents/Desktop/Dillon%20Files/AI%20Design%20Fee%20-%20Rates.xlsx" TargetMode="External"/><Relationship Id="rId1" Type="http://schemas.openxmlformats.org/officeDocument/2006/relationships/externalLinkPath" Target="https://kiedrive.kiewit.com/personal/vinita_wagh_kiewit_com/Documents/Desktop/Dillon%20Files/AI%20Design%20Fee%20-%20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. Key Quantities (2)"/>
      <sheetName val="0. Review Meetings"/>
      <sheetName val="1.Area-Pkg Plan"/>
      <sheetName val="2. Key Quantities"/>
      <sheetName val="3. Bridge Key Quantity"/>
      <sheetName val="Structures Account Codes"/>
      <sheetName val="Schedule Detail List Ref"/>
      <sheetName val="2.Hours"/>
      <sheetName val="3.ODCs"/>
      <sheetName val="Sheet2"/>
    </sheetNames>
    <sheetDataSet>
      <sheetData sheetId="0"/>
      <sheetData sheetId="1">
        <row r="7">
          <cell r="F7" t="str">
            <v>[Lead Name]</v>
          </cell>
        </row>
        <row r="8">
          <cell r="F8" t="str">
            <v>[Lead Name]</v>
          </cell>
        </row>
        <row r="9">
          <cell r="F9" t="str">
            <v>[Lead Name]</v>
          </cell>
        </row>
        <row r="10">
          <cell r="F10" t="str">
            <v>[Lead Name]</v>
          </cell>
        </row>
        <row r="11">
          <cell r="F11" t="str">
            <v>[Lead Name]</v>
          </cell>
        </row>
        <row r="12">
          <cell r="F12" t="str">
            <v>[Lead Name]</v>
          </cell>
        </row>
        <row r="13">
          <cell r="F13" t="str">
            <v>[Lead Name]</v>
          </cell>
        </row>
        <row r="14">
          <cell r="F14" t="str">
            <v>[Lead Name]</v>
          </cell>
        </row>
        <row r="15">
          <cell r="F15" t="str">
            <v>[Lead Name]</v>
          </cell>
        </row>
        <row r="16">
          <cell r="F16" t="str">
            <v>[Lead Name]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0CF36-B0CE-49E2-AE78-5E621B6D701A}" name="Table59" displayName="Table59" ref="A2:I33" totalsRowShown="0" dataDxfId="9">
  <autoFilter ref="A2:I33" xr:uid="{5396C3D6-1EB6-4767-8054-7BA984C55B33}"/>
  <tableColumns count="9">
    <tableColumn id="1" xr3:uid="{C05978F9-3E24-4FC1-B123-4F0D7D79ED65}" name="Discipline" dataDxfId="8"/>
    <tableColumn id="2" xr3:uid="{412D772F-B17F-4A76-91BC-067E1838464E}" name="Key Quantity" dataDxfId="7"/>
    <tableColumn id="3" xr3:uid="{AE90DB62-B63E-4880-AD91-3226338ED13E}" name="Qty." dataDxfId="6"/>
    <tableColumn id="6" xr3:uid="{46872550-D8ED-4585-B75C-C6B39444E2CF}" name="Discipline Lead" dataDxfId="5"/>
    <tableColumn id="7" xr3:uid="{19E45166-2BB9-4B2A-B6D5-0E613A1D8E9C}" name="Notes" dataDxfId="4"/>
    <tableColumn id="4" xr3:uid="{15937A4D-E707-4BD4-828E-3C89753E45EC}" name="Low Resource" dataDxfId="3"/>
    <tableColumn id="5" xr3:uid="{CF6A1148-97C5-4F1F-A64E-849F4AF664A7}" name="Low Rate" dataDxfId="1" dataCellStyle="Currency">
      <calculatedColumnFormula>+Table59[[#This Row],[Low Rate]]*1.035</calculatedColumnFormula>
    </tableColumn>
    <tableColumn id="8" xr3:uid="{AB0755AE-DA2A-4C6C-93D1-28CC0FCAB7DE}" name="High Resource" dataDxfId="2"/>
    <tableColumn id="9" xr3:uid="{8B9DFE3F-9F87-44CB-9DD5-2BAAB7BD0EE9}" name="High Rate" dataDxfId="0" dataCellStyle="Currency">
      <calculatedColumnFormula>+Table59[[#This Row],[High Rate]]*1.035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A825-2432-4DDA-B029-2D70273B1BCF}">
  <sheetPr>
    <outlinePr summaryBelow="0"/>
  </sheetPr>
  <dimension ref="A1:L63"/>
  <sheetViews>
    <sheetView tabSelected="1" workbookViewId="0">
      <selection activeCell="I34" sqref="I34"/>
    </sheetView>
  </sheetViews>
  <sheetFormatPr defaultRowHeight="14.4" outlineLevelRow="1" x14ac:dyDescent="0.3"/>
  <cols>
    <col min="1" max="1" width="21.5546875" bestFit="1" customWidth="1"/>
    <col min="2" max="2" width="29" bestFit="1" customWidth="1"/>
    <col min="3" max="3" width="13.5546875" customWidth="1"/>
    <col min="4" max="4" width="16.109375" bestFit="1" customWidth="1"/>
    <col min="5" max="5" width="20.88671875" bestFit="1" customWidth="1"/>
    <col min="6" max="6" width="15" bestFit="1" customWidth="1"/>
    <col min="7" max="7" width="10.88671875" bestFit="1" customWidth="1"/>
    <col min="8" max="8" width="15.44140625" bestFit="1" customWidth="1"/>
    <col min="9" max="9" width="11.33203125" bestFit="1" customWidth="1"/>
  </cols>
  <sheetData>
    <row r="1" spans="1:11" x14ac:dyDescent="0.3">
      <c r="F1" s="19" t="s">
        <v>0</v>
      </c>
      <c r="G1" s="19"/>
      <c r="H1" s="19" t="s">
        <v>1</v>
      </c>
      <c r="I1" s="19"/>
      <c r="K1" t="s">
        <v>2</v>
      </c>
    </row>
    <row r="2" spans="1:11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</row>
    <row r="3" spans="1:11" collapsed="1" x14ac:dyDescent="0.3">
      <c r="A3" t="s">
        <v>12</v>
      </c>
      <c r="B3" t="s">
        <v>13</v>
      </c>
      <c r="C3">
        <f>SUM(C4:C23)</f>
        <v>0</v>
      </c>
      <c r="D3" t="str">
        <f>'[1]0. Review Meetings'!F7</f>
        <v>[Lead Name]</v>
      </c>
      <c r="F3" t="s">
        <v>14</v>
      </c>
      <c r="G3" s="27">
        <v>62.099999999999994</v>
      </c>
      <c r="H3" t="s">
        <v>15</v>
      </c>
      <c r="I3">
        <v>71.414999999999992</v>
      </c>
      <c r="K3" s="27"/>
    </row>
    <row r="4" spans="1:11" hidden="1" outlineLevel="1" x14ac:dyDescent="0.3">
      <c r="A4" t="s">
        <v>12</v>
      </c>
      <c r="B4" s="2" t="s">
        <v>16</v>
      </c>
      <c r="G4" s="27">
        <v>62.099999999999994</v>
      </c>
      <c r="I4">
        <v>0</v>
      </c>
      <c r="K4" s="27"/>
    </row>
    <row r="5" spans="1:11" hidden="1" outlineLevel="1" x14ac:dyDescent="0.3">
      <c r="A5" t="s">
        <v>12</v>
      </c>
      <c r="B5" s="2" t="s">
        <v>16</v>
      </c>
      <c r="G5" s="27">
        <v>67.274999999999991</v>
      </c>
      <c r="I5">
        <v>0</v>
      </c>
      <c r="K5" s="27"/>
    </row>
    <row r="6" spans="1:11" hidden="1" outlineLevel="1" x14ac:dyDescent="0.3">
      <c r="A6" t="s">
        <v>12</v>
      </c>
      <c r="B6" s="2" t="s">
        <v>16</v>
      </c>
      <c r="G6" s="27">
        <v>67.274999999999991</v>
      </c>
      <c r="I6">
        <v>0</v>
      </c>
      <c r="K6" s="27"/>
    </row>
    <row r="7" spans="1:11" hidden="1" outlineLevel="1" x14ac:dyDescent="0.3">
      <c r="A7" t="s">
        <v>12</v>
      </c>
      <c r="B7" s="2" t="s">
        <v>16</v>
      </c>
      <c r="G7" s="27">
        <v>62.099999999999994</v>
      </c>
      <c r="I7">
        <v>0</v>
      </c>
      <c r="K7" s="27"/>
    </row>
    <row r="8" spans="1:11" hidden="1" outlineLevel="1" x14ac:dyDescent="0.3">
      <c r="A8" t="s">
        <v>12</v>
      </c>
      <c r="B8" s="2" t="s">
        <v>16</v>
      </c>
      <c r="G8" s="27">
        <v>62.099999999999994</v>
      </c>
      <c r="I8">
        <v>0</v>
      </c>
      <c r="K8" s="27"/>
    </row>
    <row r="9" spans="1:11" hidden="1" outlineLevel="1" x14ac:dyDescent="0.3">
      <c r="A9" t="s">
        <v>12</v>
      </c>
      <c r="B9" s="2" t="s">
        <v>16</v>
      </c>
      <c r="G9" s="27">
        <v>82.8</v>
      </c>
      <c r="I9">
        <v>0</v>
      </c>
      <c r="K9" s="27"/>
    </row>
    <row r="10" spans="1:11" hidden="1" outlineLevel="1" x14ac:dyDescent="0.3">
      <c r="A10" t="s">
        <v>12</v>
      </c>
      <c r="B10" s="2" t="s">
        <v>16</v>
      </c>
      <c r="G10" s="27">
        <v>62.099999999999994</v>
      </c>
      <c r="I10">
        <v>0</v>
      </c>
      <c r="K10" s="27"/>
    </row>
    <row r="11" spans="1:11" hidden="1" outlineLevel="1" x14ac:dyDescent="0.3">
      <c r="A11" t="s">
        <v>12</v>
      </c>
      <c r="B11" s="2" t="s">
        <v>16</v>
      </c>
      <c r="G11" s="27">
        <v>72.698399999999992</v>
      </c>
      <c r="I11">
        <v>0</v>
      </c>
      <c r="K11" s="27"/>
    </row>
    <row r="12" spans="1:11" hidden="1" outlineLevel="1" x14ac:dyDescent="0.3">
      <c r="A12" t="s">
        <v>12</v>
      </c>
      <c r="B12" s="2" t="s">
        <v>16</v>
      </c>
      <c r="G12" s="27">
        <v>62.099999999999994</v>
      </c>
      <c r="I12">
        <v>0</v>
      </c>
      <c r="K12" s="27"/>
    </row>
    <row r="13" spans="1:11" hidden="1" outlineLevel="1" x14ac:dyDescent="0.3">
      <c r="A13" t="s">
        <v>12</v>
      </c>
      <c r="B13" s="2" t="s">
        <v>16</v>
      </c>
      <c r="G13" s="27">
        <v>0</v>
      </c>
      <c r="I13">
        <v>0</v>
      </c>
      <c r="K13" s="27"/>
    </row>
    <row r="14" spans="1:11" hidden="1" outlineLevel="1" x14ac:dyDescent="0.3">
      <c r="A14" t="s">
        <v>12</v>
      </c>
      <c r="B14" s="2" t="s">
        <v>16</v>
      </c>
      <c r="G14" s="27">
        <v>0</v>
      </c>
      <c r="I14">
        <v>0</v>
      </c>
      <c r="K14" s="27"/>
    </row>
    <row r="15" spans="1:11" hidden="1" outlineLevel="1" x14ac:dyDescent="0.3">
      <c r="A15" t="s">
        <v>12</v>
      </c>
      <c r="B15" s="2" t="s">
        <v>16</v>
      </c>
      <c r="G15" s="27">
        <v>0</v>
      </c>
      <c r="I15">
        <v>0</v>
      </c>
      <c r="K15" s="27"/>
    </row>
    <row r="16" spans="1:11" hidden="1" outlineLevel="1" x14ac:dyDescent="0.3">
      <c r="A16" t="s">
        <v>12</v>
      </c>
      <c r="B16" s="2" t="s">
        <v>16</v>
      </c>
      <c r="G16" s="27">
        <v>0</v>
      </c>
      <c r="I16">
        <v>0</v>
      </c>
      <c r="K16" s="27"/>
    </row>
    <row r="17" spans="1:12" hidden="1" outlineLevel="1" x14ac:dyDescent="0.3">
      <c r="A17" t="s">
        <v>12</v>
      </c>
      <c r="B17" s="2" t="s">
        <v>16</v>
      </c>
      <c r="G17" s="27">
        <v>0</v>
      </c>
      <c r="I17">
        <v>0</v>
      </c>
      <c r="K17" s="27"/>
    </row>
    <row r="18" spans="1:12" hidden="1" outlineLevel="1" x14ac:dyDescent="0.3">
      <c r="A18" t="s">
        <v>12</v>
      </c>
      <c r="B18" s="2" t="s">
        <v>16</v>
      </c>
      <c r="G18" s="27">
        <v>0</v>
      </c>
      <c r="I18">
        <v>0</v>
      </c>
      <c r="K18" s="27"/>
    </row>
    <row r="19" spans="1:12" hidden="1" outlineLevel="1" x14ac:dyDescent="0.3">
      <c r="A19" t="s">
        <v>12</v>
      </c>
      <c r="B19" s="2" t="s">
        <v>16</v>
      </c>
      <c r="G19" s="27">
        <v>0</v>
      </c>
      <c r="I19">
        <v>0</v>
      </c>
      <c r="K19" s="27"/>
    </row>
    <row r="20" spans="1:12" hidden="1" outlineLevel="1" x14ac:dyDescent="0.3">
      <c r="A20" t="s">
        <v>12</v>
      </c>
      <c r="B20" s="2" t="s">
        <v>16</v>
      </c>
      <c r="G20" s="27">
        <v>0</v>
      </c>
      <c r="I20">
        <v>0</v>
      </c>
      <c r="K20" s="27"/>
    </row>
    <row r="21" spans="1:12" hidden="1" outlineLevel="1" x14ac:dyDescent="0.3">
      <c r="A21" t="s">
        <v>12</v>
      </c>
      <c r="B21" s="2" t="s">
        <v>16</v>
      </c>
      <c r="G21" s="27">
        <v>0</v>
      </c>
      <c r="I21">
        <v>0</v>
      </c>
      <c r="K21" s="27"/>
    </row>
    <row r="22" spans="1:12" hidden="1" outlineLevel="1" x14ac:dyDescent="0.3">
      <c r="A22" t="s">
        <v>12</v>
      </c>
      <c r="B22" s="2" t="s">
        <v>16</v>
      </c>
      <c r="G22" s="27">
        <v>0</v>
      </c>
      <c r="I22">
        <v>0</v>
      </c>
      <c r="K22" s="27"/>
    </row>
    <row r="23" spans="1:12" hidden="1" outlineLevel="1" x14ac:dyDescent="0.3">
      <c r="A23" t="s">
        <v>12</v>
      </c>
      <c r="B23" s="2" t="s">
        <v>16</v>
      </c>
      <c r="G23" s="27">
        <v>0</v>
      </c>
      <c r="I23">
        <v>0</v>
      </c>
      <c r="K23" s="27"/>
    </row>
    <row r="24" spans="1:12" x14ac:dyDescent="0.3">
      <c r="A24" t="s">
        <v>17</v>
      </c>
      <c r="B24" t="s">
        <v>18</v>
      </c>
      <c r="C24">
        <v>0</v>
      </c>
      <c r="D24" t="str">
        <f>'[1]0. Review Meetings'!F8</f>
        <v>[Lead Name]</v>
      </c>
      <c r="F24" t="s">
        <v>14</v>
      </c>
      <c r="G24" s="27">
        <v>62.099999999999994</v>
      </c>
      <c r="H24" t="s">
        <v>15</v>
      </c>
      <c r="I24">
        <v>71.414999999999992</v>
      </c>
      <c r="K24" s="27"/>
    </row>
    <row r="25" spans="1:12" x14ac:dyDescent="0.3">
      <c r="A25" t="s">
        <v>19</v>
      </c>
      <c r="B25" t="s">
        <v>20</v>
      </c>
      <c r="C25">
        <v>0</v>
      </c>
      <c r="D25" t="str">
        <f>'[1]0. Review Meetings'!F9</f>
        <v>[Lead Name]</v>
      </c>
      <c r="F25" t="s">
        <v>21</v>
      </c>
      <c r="G25" s="27">
        <v>67.274999999999991</v>
      </c>
      <c r="H25" t="s">
        <v>22</v>
      </c>
      <c r="I25">
        <v>77.366249999999994</v>
      </c>
      <c r="K25" s="27"/>
    </row>
    <row r="26" spans="1:12" s="4" customFormat="1" x14ac:dyDescent="0.3">
      <c r="A26" t="s">
        <v>23</v>
      </c>
      <c r="B26" t="s">
        <v>24</v>
      </c>
      <c r="C26"/>
      <c r="D26" t="str">
        <f>'[1]0. Review Meetings'!F10</f>
        <v>[Lead Name]</v>
      </c>
      <c r="E26"/>
      <c r="F26" t="s">
        <v>21</v>
      </c>
      <c r="G26" s="27">
        <v>67.274999999999991</v>
      </c>
      <c r="H26" t="s">
        <v>22</v>
      </c>
      <c r="I26">
        <v>77.366249999999994</v>
      </c>
      <c r="K26" s="27"/>
      <c r="L26"/>
    </row>
    <row r="27" spans="1:12" x14ac:dyDescent="0.3">
      <c r="A27" t="s">
        <v>25</v>
      </c>
      <c r="B27" t="s">
        <v>26</v>
      </c>
      <c r="C27">
        <f>C3</f>
        <v>0</v>
      </c>
      <c r="D27" t="str">
        <f>'[1]0. Review Meetings'!F11</f>
        <v>[Lead Name]</v>
      </c>
      <c r="E27" t="s">
        <v>27</v>
      </c>
      <c r="F27" t="s">
        <v>14</v>
      </c>
      <c r="G27" s="27">
        <v>62.099999999999994</v>
      </c>
      <c r="H27" t="s">
        <v>15</v>
      </c>
      <c r="I27">
        <v>71.414999999999992</v>
      </c>
      <c r="K27" s="27"/>
    </row>
    <row r="28" spans="1:12" x14ac:dyDescent="0.3">
      <c r="A28" t="s">
        <v>28</v>
      </c>
      <c r="B28" t="s">
        <v>29</v>
      </c>
      <c r="C28">
        <v>0</v>
      </c>
      <c r="D28" t="str">
        <f>'[1]0. Review Meetings'!F12</f>
        <v>[Lead Name]</v>
      </c>
      <c r="F28" t="s">
        <v>14</v>
      </c>
      <c r="G28" s="27">
        <v>62.099999999999994</v>
      </c>
      <c r="H28" t="s">
        <v>15</v>
      </c>
      <c r="I28">
        <v>71.414999999999992</v>
      </c>
      <c r="K28" s="27"/>
    </row>
    <row r="29" spans="1:12" x14ac:dyDescent="0.3">
      <c r="A29" t="s">
        <v>30</v>
      </c>
      <c r="B29" t="s">
        <v>31</v>
      </c>
      <c r="C29">
        <v>0</v>
      </c>
      <c r="D29" t="str">
        <f>'[1]0. Review Meetings'!F13</f>
        <v>[Lead Name]</v>
      </c>
      <c r="F29" t="s">
        <v>32</v>
      </c>
      <c r="G29" s="27">
        <v>82.8</v>
      </c>
      <c r="H29" t="s">
        <v>33</v>
      </c>
      <c r="I29">
        <v>95.22</v>
      </c>
      <c r="K29" s="27"/>
    </row>
    <row r="30" spans="1:12" x14ac:dyDescent="0.3">
      <c r="A30" t="s">
        <v>34</v>
      </c>
      <c r="B30" t="s">
        <v>26</v>
      </c>
      <c r="C30">
        <f>C3</f>
        <v>0</v>
      </c>
      <c r="D30" t="str">
        <f>'[1]0. Review Meetings'!F14</f>
        <v>[Lead Name]</v>
      </c>
      <c r="E30" t="s">
        <v>27</v>
      </c>
      <c r="F30" t="s">
        <v>14</v>
      </c>
      <c r="G30" s="27">
        <v>62.099999999999994</v>
      </c>
      <c r="H30" t="s">
        <v>15</v>
      </c>
      <c r="I30">
        <v>71.414999999999992</v>
      </c>
      <c r="K30" s="27"/>
    </row>
    <row r="31" spans="1:12" x14ac:dyDescent="0.3">
      <c r="A31" t="s">
        <v>35</v>
      </c>
      <c r="B31" t="s">
        <v>36</v>
      </c>
      <c r="C31">
        <v>0</v>
      </c>
      <c r="D31" t="str">
        <f>'[1]0. Review Meetings'!F15</f>
        <v>[Lead Name]</v>
      </c>
      <c r="F31" t="s">
        <v>37</v>
      </c>
      <c r="G31" s="27">
        <v>72.698399999999992</v>
      </c>
      <c r="H31" t="s">
        <v>38</v>
      </c>
      <c r="I31">
        <v>83.596949999999993</v>
      </c>
      <c r="K31" s="27"/>
    </row>
    <row r="32" spans="1:12" x14ac:dyDescent="0.3">
      <c r="A32" t="s">
        <v>39</v>
      </c>
      <c r="B32" t="s">
        <v>40</v>
      </c>
      <c r="C32">
        <v>0</v>
      </c>
      <c r="D32" t="str">
        <f>'[1]0. Review Meetings'!F16</f>
        <v>[Lead Name]</v>
      </c>
      <c r="F32" t="s">
        <v>14</v>
      </c>
      <c r="G32" s="27">
        <v>62.099999999999994</v>
      </c>
      <c r="H32" t="s">
        <v>15</v>
      </c>
      <c r="I32">
        <v>71.414999999999992</v>
      </c>
      <c r="K32" s="27"/>
    </row>
    <row r="33" spans="1:9" x14ac:dyDescent="0.3">
      <c r="A33" s="26" t="s">
        <v>73</v>
      </c>
      <c r="B33" s="26"/>
      <c r="C33" s="26"/>
      <c r="D33" s="26"/>
      <c r="E33" s="26"/>
      <c r="F33" s="26" t="s">
        <v>74</v>
      </c>
      <c r="G33" s="1">
        <f>+G3</f>
        <v>62.099999999999994</v>
      </c>
      <c r="H33" s="26" t="s">
        <v>75</v>
      </c>
      <c r="I33" s="3">
        <f>+I3</f>
        <v>71.414999999999992</v>
      </c>
    </row>
    <row r="34" spans="1:9" x14ac:dyDescent="0.3">
      <c r="G34" s="5"/>
    </row>
    <row r="35" spans="1:9" x14ac:dyDescent="0.3">
      <c r="G35" s="6"/>
    </row>
    <row r="36" spans="1:9" x14ac:dyDescent="0.3">
      <c r="A36" t="s">
        <v>41</v>
      </c>
      <c r="G36" s="6"/>
    </row>
    <row r="37" spans="1:9" ht="15" thickBot="1" x14ac:dyDescent="0.35">
      <c r="G37" s="6"/>
    </row>
    <row r="38" spans="1:9" ht="15" thickBot="1" x14ac:dyDescent="0.35">
      <c r="A38" s="20" t="s">
        <v>3</v>
      </c>
      <c r="B38" s="22" t="s">
        <v>42</v>
      </c>
      <c r="C38" s="24" t="s">
        <v>43</v>
      </c>
      <c r="D38" s="25"/>
      <c r="G38" s="6"/>
    </row>
    <row r="39" spans="1:9" ht="16.2" thickBot="1" x14ac:dyDescent="0.35">
      <c r="A39" s="21"/>
      <c r="B39" s="23"/>
      <c r="C39" s="7" t="s">
        <v>44</v>
      </c>
      <c r="D39" s="8"/>
      <c r="G39" s="6"/>
    </row>
    <row r="40" spans="1:9" ht="16.2" thickBot="1" x14ac:dyDescent="0.35">
      <c r="A40" s="9" t="s">
        <v>45</v>
      </c>
      <c r="B40" s="10" t="s">
        <v>46</v>
      </c>
      <c r="C40" s="11">
        <v>146.9</v>
      </c>
      <c r="D40" s="8"/>
      <c r="G40" s="6"/>
    </row>
    <row r="41" spans="1:9" ht="16.2" thickBot="1" x14ac:dyDescent="0.35">
      <c r="A41" s="9" t="s">
        <v>47</v>
      </c>
      <c r="B41" s="10" t="s">
        <v>48</v>
      </c>
      <c r="C41" s="12">
        <v>121.84</v>
      </c>
      <c r="D41" s="8"/>
      <c r="G41" s="6"/>
    </row>
    <row r="42" spans="1:9" ht="16.2" thickBot="1" x14ac:dyDescent="0.35">
      <c r="A42" s="9" t="s">
        <v>49</v>
      </c>
      <c r="B42" s="10" t="s">
        <v>50</v>
      </c>
      <c r="C42" s="12">
        <v>100.15</v>
      </c>
      <c r="D42" s="8"/>
      <c r="G42" s="6"/>
    </row>
    <row r="43" spans="1:9" ht="16.2" thickBot="1" x14ac:dyDescent="0.35">
      <c r="A43" s="13" t="s">
        <v>51</v>
      </c>
      <c r="B43" s="14" t="s">
        <v>52</v>
      </c>
      <c r="C43" s="15">
        <v>87</v>
      </c>
      <c r="D43" s="8"/>
      <c r="E43" t="s">
        <v>53</v>
      </c>
      <c r="G43" s="6"/>
    </row>
    <row r="44" spans="1:9" ht="16.2" thickBot="1" x14ac:dyDescent="0.35">
      <c r="A44" s="9" t="s">
        <v>54</v>
      </c>
      <c r="B44" s="10" t="s">
        <v>55</v>
      </c>
      <c r="C44" s="12">
        <v>75.92</v>
      </c>
      <c r="D44" s="8"/>
      <c r="G44" s="6"/>
    </row>
    <row r="45" spans="1:9" ht="16.2" thickBot="1" x14ac:dyDescent="0.35">
      <c r="A45" s="9" t="s">
        <v>56</v>
      </c>
      <c r="B45" s="10" t="s">
        <v>57</v>
      </c>
      <c r="C45" s="12">
        <v>63.53</v>
      </c>
      <c r="D45" s="8"/>
      <c r="G45" s="6"/>
    </row>
    <row r="46" spans="1:9" ht="15" thickBot="1" x14ac:dyDescent="0.35">
      <c r="A46" s="16" t="s">
        <v>58</v>
      </c>
      <c r="B46" s="17" t="s">
        <v>59</v>
      </c>
      <c r="C46" s="18">
        <v>67</v>
      </c>
      <c r="G46" s="6"/>
    </row>
    <row r="47" spans="1:9" x14ac:dyDescent="0.3">
      <c r="G47" s="6"/>
    </row>
    <row r="48" spans="1:9" x14ac:dyDescent="0.3">
      <c r="A48" t="s">
        <v>60</v>
      </c>
      <c r="G48" s="6"/>
    </row>
    <row r="49" spans="1:7" x14ac:dyDescent="0.3">
      <c r="A49" t="s">
        <v>61</v>
      </c>
      <c r="G49" s="6"/>
    </row>
    <row r="50" spans="1:7" x14ac:dyDescent="0.3">
      <c r="A50" t="s">
        <v>62</v>
      </c>
      <c r="G50" s="6"/>
    </row>
    <row r="51" spans="1:7" x14ac:dyDescent="0.3">
      <c r="A51" t="s">
        <v>63</v>
      </c>
      <c r="B51" t="s">
        <v>64</v>
      </c>
      <c r="C51" t="s">
        <v>65</v>
      </c>
      <c r="D51" t="s">
        <v>66</v>
      </c>
      <c r="E51" t="s">
        <v>67</v>
      </c>
      <c r="G51" s="6"/>
    </row>
    <row r="52" spans="1:7" x14ac:dyDescent="0.3">
      <c r="A52" t="s">
        <v>68</v>
      </c>
      <c r="B52">
        <v>1</v>
      </c>
      <c r="C52">
        <v>52</v>
      </c>
      <c r="D52">
        <f>40*C52*B52</f>
        <v>2080</v>
      </c>
      <c r="E52" t="s">
        <v>69</v>
      </c>
      <c r="G52" s="6"/>
    </row>
    <row r="53" spans="1:7" x14ac:dyDescent="0.3">
      <c r="A53" t="s">
        <v>70</v>
      </c>
      <c r="B53">
        <v>1</v>
      </c>
      <c r="C53">
        <v>52</v>
      </c>
      <c r="D53">
        <f t="shared" ref="D53:D55" si="0">40*C53*B53</f>
        <v>2080</v>
      </c>
      <c r="E53" t="s">
        <v>55</v>
      </c>
      <c r="G53" s="6"/>
    </row>
    <row r="54" spans="1:7" x14ac:dyDescent="0.3">
      <c r="A54" t="s">
        <v>71</v>
      </c>
      <c r="B54">
        <v>0.25</v>
      </c>
      <c r="C54">
        <v>52</v>
      </c>
      <c r="D54">
        <f t="shared" si="0"/>
        <v>520</v>
      </c>
      <c r="E54" t="s">
        <v>59</v>
      </c>
      <c r="G54" s="6"/>
    </row>
    <row r="55" spans="1:7" x14ac:dyDescent="0.3">
      <c r="A55" t="s">
        <v>72</v>
      </c>
      <c r="B55">
        <v>0.1</v>
      </c>
      <c r="C55">
        <v>52</v>
      </c>
      <c r="D55">
        <f t="shared" si="0"/>
        <v>208</v>
      </c>
      <c r="E55" t="s">
        <v>46</v>
      </c>
      <c r="G55" s="6">
        <v>60</v>
      </c>
    </row>
    <row r="56" spans="1:7" x14ac:dyDescent="0.3">
      <c r="G56" s="5">
        <v>65</v>
      </c>
    </row>
    <row r="57" spans="1:7" x14ac:dyDescent="0.3">
      <c r="G57" s="6">
        <v>65</v>
      </c>
    </row>
    <row r="58" spans="1:7" x14ac:dyDescent="0.3">
      <c r="G58" s="5">
        <v>60</v>
      </c>
    </row>
    <row r="59" spans="1:7" x14ac:dyDescent="0.3">
      <c r="G59" s="6">
        <v>60</v>
      </c>
    </row>
    <row r="60" spans="1:7" x14ac:dyDescent="0.3">
      <c r="G60" s="5">
        <v>80</v>
      </c>
    </row>
    <row r="61" spans="1:7" x14ac:dyDescent="0.3">
      <c r="G61" s="6">
        <v>60</v>
      </c>
    </row>
    <row r="62" spans="1:7" x14ac:dyDescent="0.3">
      <c r="G62" s="5">
        <v>70.239999999999995</v>
      </c>
    </row>
    <row r="63" spans="1:7" x14ac:dyDescent="0.3">
      <c r="G63" s="6">
        <v>60</v>
      </c>
    </row>
  </sheetData>
  <mergeCells count="5">
    <mergeCell ref="F1:G1"/>
    <mergeCell ref="H1:I1"/>
    <mergeCell ref="A38:A39"/>
    <mergeCell ref="B38:B39"/>
    <mergeCell ref="C38:D38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DB72-A5AB-47FF-9109-E5E13E5AC1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2. Key Quantities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Vinita.Wagh</dc:creator>
  <cp:lastModifiedBy>Vinita.Wagh</cp:lastModifiedBy>
  <dcterms:created xsi:type="dcterms:W3CDTF">2026-01-30T22:10:40Z</dcterms:created>
  <dcterms:modified xsi:type="dcterms:W3CDTF">2026-02-27T17:16:10Z</dcterms:modified>
</cp:coreProperties>
</file>