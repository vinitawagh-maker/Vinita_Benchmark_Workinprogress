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ta.wagh\Projects\original Mike file\public\data\benchmarking\All Other Projects\ESDC and TSCD\"/>
    </mc:Choice>
  </mc:AlternateContent>
  <xr:revisionPtr revIDLastSave="0" documentId="8_{B250FC2E-245F-4B6A-B671-D4349C36BE58}" xr6:coauthVersionLast="47" xr6:coauthVersionMax="47" xr10:uidLastSave="{00000000-0000-0000-0000-000000000000}"/>
  <bookViews>
    <workbookView xWindow="804" yWindow="384" windowWidth="21624" windowHeight="11304" tabRatio="689" activeTab="9" xr2:uid="{853FBEF5-80A3-45CD-AF1E-32E8538807D0}"/>
  </bookViews>
  <sheets>
    <sheet name="Summary - MH" sheetId="2" r:id="rId1"/>
    <sheet name="DIG_DEL" sheetId="13" r:id="rId2"/>
    <sheet name="DRN" sheetId="4" r:id="rId3"/>
    <sheet name="MOT" sheetId="5" r:id="rId4"/>
    <sheet name="RDWY" sheetId="1" r:id="rId5"/>
    <sheet name="TRF" sheetId="6" r:id="rId6"/>
    <sheet name="UTL" sheetId="15" r:id="rId7"/>
    <sheet name="RWAL" sheetId="7" r:id="rId8"/>
    <sheet name="NWAL" sheetId="18" r:id="rId9"/>
    <sheet name="STR" sheetId="17" r:id="rId10"/>
    <sheet name="MSRT" sheetId="9" r:id="rId11"/>
    <sheet name="GEO" sheetId="8" r:id="rId12"/>
    <sheet name="SYS" sheetId="20" r:id="rId13"/>
    <sheet name="TRK" sheetId="16" r:id="rId14"/>
    <sheet name="ESDC" sheetId="10" r:id="rId15"/>
    <sheet name="TSCD" sheetId="21" r:id="rId16"/>
    <sheet name="Notes" sheetId="3" r:id="rId17"/>
    <sheet name="Dropdowns" sheetId="14" r:id="rId18"/>
  </sheets>
  <definedNames>
    <definedName name="_xlnm.Print_Area" localSheetId="2">DRN!$A$1:$G$44</definedName>
    <definedName name="_xlnm.Print_Area" localSheetId="14">ESDC!$A$1:$J$76</definedName>
    <definedName name="_xlnm.Print_Area" localSheetId="11">GEO!$A$1:$G$44</definedName>
    <definedName name="_xlnm.Print_Area" localSheetId="3">MOT!$A$1:$G$44</definedName>
    <definedName name="_xlnm.Print_Area" localSheetId="10">MSRT!$A$1:$G$40</definedName>
    <definedName name="_xlnm.Print_Area" localSheetId="8">NWAL!$A$1:$G$39</definedName>
    <definedName name="_xlnm.Print_Area" localSheetId="4">RDWY!$A$1:$G$47</definedName>
    <definedName name="_xlnm.Print_Area" localSheetId="7">RWAL!$A$1:$G$39</definedName>
    <definedName name="_xlnm.Print_Area" localSheetId="12">SYS!$A$1:$G$38</definedName>
    <definedName name="_xlnm.Print_Area" localSheetId="5">TRF!$A$1:$G$42</definedName>
    <definedName name="_xlnm.Print_Area" localSheetId="13">TRK!$A$1:$G$38</definedName>
    <definedName name="_xlnm.Print_Area" localSheetId="15">TSCD!$A$1:$J$142</definedName>
    <definedName name="_xlnm.Print_Area" localSheetId="6">UTL!$A$1:$G$38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F17" i="2"/>
  <c r="F16" i="2"/>
  <c r="F87" i="17"/>
  <c r="F88" i="17"/>
  <c r="F89" i="17"/>
  <c r="F90" i="17"/>
  <c r="F91" i="17"/>
  <c r="F92" i="17"/>
  <c r="F86" i="17"/>
  <c r="F93" i="17"/>
  <c r="D17" i="2"/>
  <c r="D16" i="2"/>
  <c r="K28" i="13"/>
  <c r="K27" i="13"/>
  <c r="K26" i="13"/>
  <c r="L20" i="2"/>
  <c r="L21" i="2"/>
  <c r="L22" i="2"/>
  <c r="L23" i="2"/>
  <c r="D15" i="2" l="1"/>
  <c r="H27" i="2"/>
  <c r="G14" i="2"/>
  <c r="F14" i="2"/>
  <c r="D12" i="2"/>
  <c r="L14" i="2" l="1"/>
  <c r="L15" i="2"/>
  <c r="G9" i="7" l="1"/>
  <c r="G15" i="1"/>
  <c r="G18" i="1"/>
  <c r="G15" i="5"/>
  <c r="L17" i="2" l="1"/>
  <c r="J17" i="2"/>
  <c r="K17" i="2"/>
  <c r="G26" i="21"/>
  <c r="G28" i="21"/>
  <c r="G31" i="21"/>
  <c r="G32" i="21"/>
  <c r="G33" i="21"/>
  <c r="G34" i="21"/>
  <c r="G35" i="21"/>
  <c r="G36" i="21"/>
  <c r="D25" i="2"/>
  <c r="D24" i="2"/>
  <c r="B119" i="21" l="1"/>
  <c r="F145" i="21" a="1"/>
  <c r="F145" i="21" s="1"/>
  <c r="F144" i="21" a="1"/>
  <c r="F144" i="21" s="1"/>
  <c r="E145" i="21" a="1"/>
  <c r="E145" i="21" s="1"/>
  <c r="E144" i="21" a="1"/>
  <c r="E144" i="21" s="1"/>
  <c r="E113" i="21"/>
  <c r="E112" i="21"/>
  <c r="E111" i="21"/>
  <c r="E110" i="21"/>
  <c r="E109" i="21"/>
  <c r="E108" i="21"/>
  <c r="E107" i="21"/>
  <c r="E106" i="21"/>
  <c r="E105" i="21"/>
  <c r="E104" i="21"/>
  <c r="E103" i="21"/>
  <c r="E102" i="21"/>
  <c r="E101" i="21"/>
  <c r="E100" i="21"/>
  <c r="E99" i="21"/>
  <c r="E98" i="2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G23" i="21" s="1"/>
  <c r="E22" i="21"/>
  <c r="G22" i="21" s="1"/>
  <c r="E21" i="21"/>
  <c r="E20" i="21"/>
  <c r="E19" i="21"/>
  <c r="G19" i="21" s="1"/>
  <c r="E18" i="21"/>
  <c r="G18" i="21" s="1"/>
  <c r="E17" i="21"/>
  <c r="G17" i="21" s="1"/>
  <c r="E16" i="21"/>
  <c r="E15" i="21"/>
  <c r="E14" i="21"/>
  <c r="E13" i="21"/>
  <c r="E12" i="21"/>
  <c r="E11" i="21"/>
  <c r="G11" i="21" s="1"/>
  <c r="E10" i="21"/>
  <c r="G10" i="21" s="1"/>
  <c r="E9" i="21"/>
  <c r="G9" i="21" s="1"/>
  <c r="E8" i="21"/>
  <c r="E7" i="21"/>
  <c r="G7" i="21" s="1"/>
  <c r="E6" i="21"/>
  <c r="G15" i="21"/>
  <c r="G14" i="21"/>
  <c r="G13" i="21"/>
  <c r="E5" i="21"/>
  <c r="G5" i="21" s="1"/>
  <c r="B53" i="10"/>
  <c r="G50" i="10" s="1"/>
  <c r="B15" i="20"/>
  <c r="C12" i="20" s="1"/>
  <c r="E8" i="20"/>
  <c r="E7" i="20"/>
  <c r="G7" i="20" s="1"/>
  <c r="E6" i="20"/>
  <c r="G6" i="20" s="1"/>
  <c r="E5" i="20"/>
  <c r="F41" i="16" a="1"/>
  <c r="F41" i="16"/>
  <c r="F40" i="16" a="1"/>
  <c r="F40" i="16" s="1"/>
  <c r="E41" i="16" a="1"/>
  <c r="E41" i="16" s="1"/>
  <c r="E40" i="16" a="1"/>
  <c r="E40" i="16"/>
  <c r="C41" i="16"/>
  <c r="C40" i="16"/>
  <c r="E47" i="8" a="1"/>
  <c r="E47" i="8"/>
  <c r="E46" i="8" a="1"/>
  <c r="E46" i="8"/>
  <c r="C47" i="8"/>
  <c r="C46" i="8"/>
  <c r="F43" i="9" a="1"/>
  <c r="F43" i="9" s="1"/>
  <c r="F42" i="9" a="1"/>
  <c r="F42" i="9" s="1"/>
  <c r="E43" i="9" a="1"/>
  <c r="E43" i="9" s="1"/>
  <c r="E42" i="9" a="1"/>
  <c r="E42" i="9" s="1"/>
  <c r="C43" i="9"/>
  <c r="C42" i="9"/>
  <c r="E42" i="18" a="1"/>
  <c r="E42" i="18" s="1"/>
  <c r="E41" i="18" a="1"/>
  <c r="E41" i="18" s="1"/>
  <c r="C42" i="18"/>
  <c r="C41" i="18"/>
  <c r="B16" i="18"/>
  <c r="C13" i="18" s="1"/>
  <c r="G6" i="18"/>
  <c r="F41" i="18" s="1" a="1"/>
  <c r="F41" i="18" s="1"/>
  <c r="E6" i="18"/>
  <c r="E5" i="18"/>
  <c r="F42" i="7" a="1"/>
  <c r="F42" i="7" s="1"/>
  <c r="F41" i="7" a="1"/>
  <c r="F41" i="7" s="1"/>
  <c r="E42" i="7" a="1"/>
  <c r="E42" i="7" s="1"/>
  <c r="E41" i="7" a="1"/>
  <c r="E41" i="7" s="1"/>
  <c r="C42" i="7"/>
  <c r="C41" i="7"/>
  <c r="F41" i="15" a="1"/>
  <c r="F41" i="15" s="1"/>
  <c r="F40" i="15" a="1"/>
  <c r="F40" i="15"/>
  <c r="E41" i="15" a="1"/>
  <c r="E41" i="15" s="1"/>
  <c r="E40" i="15" a="1"/>
  <c r="E40" i="15" s="1"/>
  <c r="C41" i="15"/>
  <c r="C40" i="15"/>
  <c r="G10" i="6"/>
  <c r="G11" i="6"/>
  <c r="F45" i="6" a="1"/>
  <c r="F45" i="6" s="1"/>
  <c r="F44" i="6" a="1"/>
  <c r="F44" i="6" s="1"/>
  <c r="E45" i="6" a="1"/>
  <c r="E45" i="6" s="1"/>
  <c r="E44" i="6" a="1"/>
  <c r="E44" i="6" s="1"/>
  <c r="C45" i="6"/>
  <c r="C44" i="6"/>
  <c r="F50" i="1" a="1"/>
  <c r="F50" i="1" s="1"/>
  <c r="F49" i="1" a="1"/>
  <c r="F49" i="1" s="1"/>
  <c r="E50" i="1" a="1"/>
  <c r="E50" i="1" s="1"/>
  <c r="E49" i="1" a="1"/>
  <c r="E49" i="1" s="1"/>
  <c r="C50" i="1"/>
  <c r="C49" i="1"/>
  <c r="F47" i="5" a="1"/>
  <c r="F47" i="5" s="1"/>
  <c r="E47" i="5" a="1"/>
  <c r="E47" i="5" s="1"/>
  <c r="C47" i="5"/>
  <c r="F46" i="5" a="1"/>
  <c r="F46" i="5" s="1"/>
  <c r="E46" i="5" a="1"/>
  <c r="E46" i="5" s="1"/>
  <c r="C46" i="5"/>
  <c r="L25" i="2"/>
  <c r="L24" i="2"/>
  <c r="L19" i="2"/>
  <c r="L13" i="2"/>
  <c r="L11" i="2"/>
  <c r="L10" i="2"/>
  <c r="L9" i="2"/>
  <c r="L8" i="2"/>
  <c r="L7" i="2"/>
  <c r="L6" i="2"/>
  <c r="L5" i="2"/>
  <c r="K23" i="2"/>
  <c r="K22" i="2"/>
  <c r="J23" i="2"/>
  <c r="J22" i="2"/>
  <c r="G11" i="9"/>
  <c r="E11" i="9"/>
  <c r="E15" i="8"/>
  <c r="G13" i="6"/>
  <c r="E13" i="6"/>
  <c r="G9" i="15"/>
  <c r="E9" i="15"/>
  <c r="E15" i="5"/>
  <c r="E18" i="1"/>
  <c r="G15" i="4"/>
  <c r="E15" i="4"/>
  <c r="L16" i="2"/>
  <c r="D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F15" i="2" l="1"/>
  <c r="F42" i="18" a="1"/>
  <c r="F42" i="18" s="1"/>
  <c r="G13" i="18" s="1"/>
  <c r="B18" i="18" s="1"/>
  <c r="K14" i="2" s="1"/>
  <c r="C101" i="17"/>
  <c r="C50" i="10"/>
  <c r="B55" i="10" s="1"/>
  <c r="E50" i="10"/>
  <c r="C145" i="21"/>
  <c r="C116" i="21"/>
  <c r="C144" i="21"/>
  <c r="C40" i="20"/>
  <c r="C41" i="20"/>
  <c r="G5" i="20"/>
  <c r="G5" i="18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78" i="17"/>
  <c r="F45" i="17"/>
  <c r="F46" i="17"/>
  <c r="F47" i="17"/>
  <c r="F50" i="17"/>
  <c r="F49" i="17"/>
  <c r="F64" i="17"/>
  <c r="F51" i="17"/>
  <c r="F52" i="17"/>
  <c r="F53" i="17"/>
  <c r="F54" i="17"/>
  <c r="F55" i="17"/>
  <c r="F56" i="17"/>
  <c r="F80" i="17"/>
  <c r="F58" i="17"/>
  <c r="F59" i="17"/>
  <c r="F60" i="17"/>
  <c r="F61" i="17"/>
  <c r="F62" i="17"/>
  <c r="F63" i="17"/>
  <c r="F48" i="17"/>
  <c r="F57" i="17"/>
  <c r="F65" i="17"/>
  <c r="F67" i="17"/>
  <c r="F81" i="17"/>
  <c r="F66" i="17"/>
  <c r="F68" i="17"/>
  <c r="F71" i="17"/>
  <c r="F72" i="17"/>
  <c r="F73" i="17"/>
  <c r="F74" i="17"/>
  <c r="F75" i="17"/>
  <c r="F76" i="17"/>
  <c r="F77" i="17"/>
  <c r="F44" i="17"/>
  <c r="F79" i="17"/>
  <c r="F69" i="17"/>
  <c r="F70" i="17"/>
  <c r="F82" i="17"/>
  <c r="F5" i="17"/>
  <c r="H69" i="17"/>
  <c r="H79" i="17"/>
  <c r="H44" i="17"/>
  <c r="H74" i="17"/>
  <c r="H73" i="17"/>
  <c r="H72" i="17"/>
  <c r="H71" i="17"/>
  <c r="H68" i="17"/>
  <c r="H66" i="17"/>
  <c r="H81" i="17"/>
  <c r="H67" i="17"/>
  <c r="H65" i="17"/>
  <c r="H57" i="17"/>
  <c r="H61" i="17"/>
  <c r="H60" i="17"/>
  <c r="H59" i="17"/>
  <c r="H58" i="17"/>
  <c r="H80" i="17"/>
  <c r="H56" i="17"/>
  <c r="H55" i="17"/>
  <c r="J16" i="2" l="1"/>
  <c r="G16" i="2"/>
  <c r="G15" i="2" s="1"/>
  <c r="J15" i="2"/>
  <c r="F41" i="20" a="1"/>
  <c r="F41" i="20" s="1"/>
  <c r="F40" i="20" a="1"/>
  <c r="F40" i="20" s="1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82" i="17"/>
  <c r="H70" i="17"/>
  <c r="H77" i="17"/>
  <c r="H76" i="17"/>
  <c r="H75" i="17"/>
  <c r="H48" i="17"/>
  <c r="H63" i="17"/>
  <c r="H62" i="17"/>
  <c r="H54" i="17"/>
  <c r="H53" i="17"/>
  <c r="H52" i="17"/>
  <c r="H51" i="17"/>
  <c r="H64" i="17"/>
  <c r="H49" i="17"/>
  <c r="H50" i="17"/>
  <c r="H47" i="17"/>
  <c r="H46" i="17"/>
  <c r="H45" i="17"/>
  <c r="H78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11" i="17"/>
  <c r="H10" i="17"/>
  <c r="H9" i="17"/>
  <c r="H8" i="17"/>
  <c r="H7" i="17"/>
  <c r="H6" i="17"/>
  <c r="H5" i="17"/>
  <c r="B15" i="16"/>
  <c r="E8" i="16"/>
  <c r="E7" i="16"/>
  <c r="G7" i="16" s="1"/>
  <c r="G6" i="16"/>
  <c r="E6" i="16"/>
  <c r="E5" i="16"/>
  <c r="G5" i="16" s="1"/>
  <c r="B21" i="8"/>
  <c r="B15" i="15"/>
  <c r="E8" i="15"/>
  <c r="G8" i="15" s="1"/>
  <c r="E7" i="15"/>
  <c r="G7" i="15" s="1"/>
  <c r="E6" i="15"/>
  <c r="E5" i="15"/>
  <c r="G5" i="15" s="1"/>
  <c r="B16" i="7"/>
  <c r="B19" i="6"/>
  <c r="B24" i="1"/>
  <c r="B21" i="5"/>
  <c r="G7" i="2"/>
  <c r="K7" i="2" s="1"/>
  <c r="F7" i="2"/>
  <c r="J7" i="2" s="1"/>
  <c r="K15" i="2" l="1"/>
  <c r="K16" i="2"/>
  <c r="G12" i="15"/>
  <c r="E12" i="15"/>
  <c r="B16" i="15" s="1"/>
  <c r="F11" i="2" s="1"/>
  <c r="J11" i="2" s="1"/>
  <c r="C12" i="15"/>
  <c r="C18" i="8"/>
  <c r="E18" i="8"/>
  <c r="B22" i="8" s="1"/>
  <c r="F19" i="2" s="1"/>
  <c r="J19" i="2" s="1"/>
  <c r="C18" i="5"/>
  <c r="E18" i="5"/>
  <c r="B22" i="5" s="1"/>
  <c r="G18" i="5"/>
  <c r="C21" i="1"/>
  <c r="E21" i="1"/>
  <c r="B25" i="1" s="1"/>
  <c r="G21" i="1"/>
  <c r="C16" i="6"/>
  <c r="G16" i="6"/>
  <c r="E16" i="6"/>
  <c r="B20" i="6" s="1"/>
  <c r="G116" i="21"/>
  <c r="B121" i="21" s="1"/>
  <c r="G25" i="2" s="1"/>
  <c r="E12" i="16"/>
  <c r="B16" i="16" s="1"/>
  <c r="F21" i="2" s="1"/>
  <c r="J21" i="2" s="1"/>
  <c r="C12" i="16"/>
  <c r="G12" i="16"/>
  <c r="G12" i="20"/>
  <c r="B17" i="20" s="1"/>
  <c r="G20" i="2" s="1"/>
  <c r="K20" i="2" s="1"/>
  <c r="C13" i="7"/>
  <c r="B17" i="15" l="1"/>
  <c r="G11" i="2" s="1"/>
  <c r="K11" i="2" s="1"/>
  <c r="B21" i="6"/>
  <c r="G10" i="2" s="1"/>
  <c r="K10" i="2" s="1"/>
  <c r="B23" i="5"/>
  <c r="B26" i="1"/>
  <c r="G9" i="2" s="1"/>
  <c r="B17" i="16"/>
  <c r="G21" i="2" s="1"/>
  <c r="K21" i="2" s="1"/>
  <c r="B21" i="4"/>
  <c r="K5" i="13"/>
  <c r="G5" i="2"/>
  <c r="K5" i="2" s="1"/>
  <c r="F5" i="2"/>
  <c r="J5" i="2" s="1"/>
  <c r="L17" i="13"/>
  <c r="L16" i="13"/>
  <c r="L15" i="13"/>
  <c r="L14" i="13"/>
  <c r="K9" i="2" l="1"/>
  <c r="C18" i="4"/>
  <c r="E6" i="5"/>
  <c r="E7" i="5"/>
  <c r="E8" i="5"/>
  <c r="E9" i="5"/>
  <c r="E10" i="5"/>
  <c r="E11" i="5"/>
  <c r="E12" i="5"/>
  <c r="E13" i="5"/>
  <c r="E14" i="5"/>
  <c r="G14" i="5" s="1"/>
  <c r="E43" i="10" l="1"/>
  <c r="E47" i="10"/>
  <c r="G47" i="10" s="1"/>
  <c r="E46" i="10"/>
  <c r="G46" i="10" s="1"/>
  <c r="E44" i="10"/>
  <c r="E45" i="10"/>
  <c r="E41" i="10"/>
  <c r="E40" i="10"/>
  <c r="G40" i="10" s="1"/>
  <c r="E42" i="10"/>
  <c r="E39" i="10"/>
  <c r="E38" i="10"/>
  <c r="E32" i="10"/>
  <c r="G32" i="10" s="1"/>
  <c r="E31" i="10"/>
  <c r="G31" i="10" s="1"/>
  <c r="E30" i="10"/>
  <c r="E29" i="10"/>
  <c r="G29" i="10" s="1"/>
  <c r="E28" i="10"/>
  <c r="G28" i="10" s="1"/>
  <c r="E27" i="10"/>
  <c r="G27" i="10" s="1"/>
  <c r="E26" i="10"/>
  <c r="G26" i="10" s="1"/>
  <c r="E25" i="10"/>
  <c r="G25" i="10" s="1"/>
  <c r="E34" i="10"/>
  <c r="E33" i="10"/>
  <c r="G33" i="10" s="1"/>
  <c r="E24" i="10"/>
  <c r="G24" i="10" s="1"/>
  <c r="E15" i="10"/>
  <c r="G15" i="10" s="1"/>
  <c r="E14" i="10"/>
  <c r="G14" i="10" s="1"/>
  <c r="E13" i="10"/>
  <c r="G13" i="10" s="1"/>
  <c r="E12" i="10"/>
  <c r="E11" i="10"/>
  <c r="G11" i="10" s="1"/>
  <c r="E19" i="10"/>
  <c r="E18" i="10"/>
  <c r="E17" i="10"/>
  <c r="E16" i="10"/>
  <c r="G16" i="10" s="1"/>
  <c r="E23" i="10"/>
  <c r="E22" i="10"/>
  <c r="G22" i="10" s="1"/>
  <c r="E21" i="10"/>
  <c r="G21" i="10" s="1"/>
  <c r="E20" i="10"/>
  <c r="G20" i="10" s="1"/>
  <c r="E36" i="10"/>
  <c r="G36" i="10" s="1"/>
  <c r="E35" i="10"/>
  <c r="G35" i="10" s="1"/>
  <c r="E37" i="10"/>
  <c r="G37" i="10" s="1"/>
  <c r="E10" i="10"/>
  <c r="G10" i="10" s="1"/>
  <c r="E9" i="10"/>
  <c r="E48" i="10"/>
  <c r="E8" i="10"/>
  <c r="E7" i="10"/>
  <c r="E6" i="10"/>
  <c r="E5" i="10"/>
  <c r="F10" i="2"/>
  <c r="J10" i="2" s="1"/>
  <c r="F9" i="2"/>
  <c r="J9" i="2" s="1"/>
  <c r="E10" i="9"/>
  <c r="G10" i="9" s="1"/>
  <c r="E9" i="9"/>
  <c r="G9" i="9" s="1"/>
  <c r="E8" i="9"/>
  <c r="E7" i="9"/>
  <c r="E6" i="9"/>
  <c r="E5" i="9"/>
  <c r="G5" i="9" s="1"/>
  <c r="E14" i="8"/>
  <c r="G14" i="8" s="1"/>
  <c r="E13" i="8"/>
  <c r="E12" i="8"/>
  <c r="G12" i="8" s="1"/>
  <c r="E11" i="8"/>
  <c r="G11" i="8" s="1"/>
  <c r="E10" i="8"/>
  <c r="E9" i="8"/>
  <c r="E8" i="8"/>
  <c r="E7" i="8"/>
  <c r="E6" i="8"/>
  <c r="E5" i="8"/>
  <c r="G5" i="8" s="1"/>
  <c r="E10" i="7"/>
  <c r="G10" i="7" s="1"/>
  <c r="E9" i="7"/>
  <c r="E8" i="7"/>
  <c r="G8" i="7" s="1"/>
  <c r="E7" i="7"/>
  <c r="E6" i="7"/>
  <c r="E5" i="7"/>
  <c r="G5" i="7" s="1"/>
  <c r="E12" i="6"/>
  <c r="G12" i="6" s="1"/>
  <c r="E11" i="6"/>
  <c r="E10" i="6"/>
  <c r="E9" i="6"/>
  <c r="G9" i="6" s="1"/>
  <c r="E8" i="6"/>
  <c r="E7" i="6"/>
  <c r="E6" i="6"/>
  <c r="E5" i="6"/>
  <c r="G5" i="6" s="1"/>
  <c r="G12" i="5"/>
  <c r="G11" i="5"/>
  <c r="E5" i="5"/>
  <c r="G5" i="5" s="1"/>
  <c r="E14" i="4"/>
  <c r="G14" i="4" s="1"/>
  <c r="E13" i="4"/>
  <c r="E12" i="4"/>
  <c r="G12" i="4" s="1"/>
  <c r="E11" i="4"/>
  <c r="G11" i="4" s="1"/>
  <c r="E10" i="4"/>
  <c r="E9" i="4"/>
  <c r="E8" i="4"/>
  <c r="E7" i="4"/>
  <c r="E6" i="4"/>
  <c r="E5" i="4"/>
  <c r="F47" i="8" l="1" a="1"/>
  <c r="F47" i="8" s="1"/>
  <c r="F46" i="8" a="1"/>
  <c r="F46" i="8" s="1"/>
  <c r="G18" i="8" s="1"/>
  <c r="B23" i="8" s="1"/>
  <c r="G19" i="2" s="1"/>
  <c r="K19" i="2" s="1"/>
  <c r="G5" i="4"/>
  <c r="C47" i="4"/>
  <c r="C46" i="4"/>
  <c r="G5" i="10"/>
  <c r="E79" i="10" a="1"/>
  <c r="E79" i="10" s="1"/>
  <c r="B54" i="10" s="1"/>
  <c r="F24" i="2" s="1"/>
  <c r="E78" i="10" a="1"/>
  <c r="E78" i="10" s="1"/>
  <c r="C79" i="10"/>
  <c r="C78" i="10"/>
  <c r="E13" i="7"/>
  <c r="B17" i="7" s="1"/>
  <c r="F13" i="2" s="1"/>
  <c r="F12" i="2" s="1"/>
  <c r="J12" i="2" s="1"/>
  <c r="G8" i="2"/>
  <c r="K8" i="2" s="1"/>
  <c r="F8" i="2"/>
  <c r="J8" i="2" s="1"/>
  <c r="E17" i="1"/>
  <c r="G17" i="1" s="1"/>
  <c r="E16" i="1"/>
  <c r="E15" i="1"/>
  <c r="E14" i="1"/>
  <c r="E13" i="1"/>
  <c r="E12" i="1"/>
  <c r="G12" i="1" s="1"/>
  <c r="E11" i="1"/>
  <c r="G11" i="1" s="1"/>
  <c r="E10" i="1"/>
  <c r="E9" i="1"/>
  <c r="E8" i="1"/>
  <c r="E7" i="1"/>
  <c r="E6" i="1"/>
  <c r="E5" i="1"/>
  <c r="G5" i="1" s="1"/>
  <c r="J13" i="2" l="1"/>
  <c r="F47" i="4" a="1"/>
  <c r="F47" i="4" s="1"/>
  <c r="F46" i="4" a="1"/>
  <c r="F46" i="4" s="1"/>
  <c r="F79" i="10" a="1"/>
  <c r="F79" i="10" s="1"/>
  <c r="F78" i="10" a="1"/>
  <c r="F78" i="10" s="1"/>
  <c r="G13" i="7"/>
  <c r="B18" i="7" s="1"/>
  <c r="G13" i="2" s="1"/>
  <c r="G12" i="2" s="1"/>
  <c r="K12" i="2" s="1"/>
  <c r="K25" i="2"/>
  <c r="K13" i="2" l="1"/>
  <c r="G18" i="4"/>
  <c r="B23" i="4" s="1"/>
  <c r="G6" i="2" s="1"/>
  <c r="J24" i="2"/>
  <c r="G24" i="2"/>
  <c r="K24" i="2" l="1"/>
  <c r="K6" i="2"/>
  <c r="D18" i="2"/>
  <c r="B17" i="9" s="1"/>
  <c r="L18" i="2" l="1"/>
  <c r="C14" i="9"/>
  <c r="E14" i="9"/>
  <c r="B18" i="9" s="1"/>
  <c r="F18" i="2" s="1"/>
  <c r="J18" i="2" s="1"/>
  <c r="G14" i="9"/>
  <c r="E13" i="18"/>
  <c r="B17" i="18" s="1"/>
  <c r="J14" i="2" s="1"/>
  <c r="B19" i="9" l="1"/>
  <c r="G18" i="2" s="1"/>
  <c r="G27" i="2" s="1"/>
  <c r="E40" i="20" a="1"/>
  <c r="E40" i="20" s="1"/>
  <c r="E41" i="20" a="1"/>
  <c r="E41" i="20" s="1"/>
  <c r="K18" i="2" l="1"/>
  <c r="E12" i="20"/>
  <c r="B16" i="20" s="1"/>
  <c r="F20" i="2" s="1"/>
  <c r="J20" i="2" l="1"/>
  <c r="E116" i="21"/>
  <c r="B120" i="21" s="1"/>
  <c r="F25" i="2" s="1"/>
  <c r="J25" i="2" l="1"/>
  <c r="E46" i="4" l="1" a="1"/>
  <c r="E46" i="4" s="1"/>
  <c r="E47" i="4" a="1"/>
  <c r="E47" i="4" s="1"/>
  <c r="E18" i="4" l="1"/>
  <c r="B22" i="4" s="1"/>
  <c r="F6" i="2" s="1"/>
  <c r="F27" i="2" s="1"/>
  <c r="J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<sst xmlns="http://schemas.openxmlformats.org/spreadsheetml/2006/main" count="2075" uniqueCount="558">
  <si>
    <t>eQTY: Alignment Length (LF)</t>
  </si>
  <si>
    <t>Project</t>
  </si>
  <si>
    <t>IH 820 Southeast Connector</t>
  </si>
  <si>
    <t>BC Highway 1</t>
  </si>
  <si>
    <t>BC Highway 5</t>
  </si>
  <si>
    <t>Federal Way Link Extension</t>
  </si>
  <si>
    <t>I-15 Tropicana</t>
  </si>
  <si>
    <t>I-17 Anthem</t>
  </si>
  <si>
    <t>Ottawa LRT</t>
  </si>
  <si>
    <t>Foothill Phase 2A LRT</t>
  </si>
  <si>
    <t>Foothill Phase 2B1 LRT</t>
  </si>
  <si>
    <t>Tijuana River Barrier</t>
  </si>
  <si>
    <t>30 Crossing</t>
  </si>
  <si>
    <t>CHPE Transmission</t>
  </si>
  <si>
    <t>US 97</t>
  </si>
  <si>
    <t>Discipline</t>
  </si>
  <si>
    <t>Account Codes</t>
  </si>
  <si>
    <t>Quantity Description</t>
  </si>
  <si>
    <t>Unit</t>
  </si>
  <si>
    <t>Notes</t>
  </si>
  <si>
    <t>Digital Engineering</t>
  </si>
  <si>
    <t>88.40.26</t>
  </si>
  <si>
    <t>K$</t>
  </si>
  <si>
    <t>88.40.27</t>
  </si>
  <si>
    <t>Project Area</t>
  </si>
  <si>
    <t>Systems</t>
  </si>
  <si>
    <t>Track Alignment Length</t>
  </si>
  <si>
    <t>LF</t>
  </si>
  <si>
    <t>Environmental</t>
  </si>
  <si>
    <t>88.40.39</t>
  </si>
  <si>
    <t>Permit Count</t>
  </si>
  <si>
    <t>MOT</t>
  </si>
  <si>
    <t>88.40.37</t>
  </si>
  <si>
    <t>Roadway Alignment Length</t>
  </si>
  <si>
    <t>Roadway (Civil)</t>
  </si>
  <si>
    <t>88.40.47, 88.40.39</t>
  </si>
  <si>
    <t>Track</t>
  </si>
  <si>
    <t>88.40.63</t>
  </si>
  <si>
    <t>Traffic</t>
  </si>
  <si>
    <t>88.40.65</t>
  </si>
  <si>
    <t>Utilities</t>
  </si>
  <si>
    <t>88.40.67</t>
  </si>
  <si>
    <t>Retaining Walls</t>
  </si>
  <si>
    <t>SF</t>
  </si>
  <si>
    <t>Noise Walls</t>
  </si>
  <si>
    <t>88.40.69</t>
  </si>
  <si>
    <t>Bridge Deck Area</t>
  </si>
  <si>
    <t>Misc Structures</t>
  </si>
  <si>
    <t>88.45.81.036</t>
  </si>
  <si>
    <t>Geotechnical</t>
  </si>
  <si>
    <t>88.50 (includes Retaining Walls)</t>
  </si>
  <si>
    <t>Transportation Structure Count</t>
  </si>
  <si>
    <t>KIE Benchmark Estimate</t>
  </si>
  <si>
    <t>Self-Perform Design Relocations</t>
  </si>
  <si>
    <t>TF</t>
  </si>
  <si>
    <t>EA</t>
  </si>
  <si>
    <t>Retaining Wall Area</t>
  </si>
  <si>
    <t>Noise Wall Area</t>
  </si>
  <si>
    <t>88.45.81 (excludes MSTR)</t>
  </si>
  <si>
    <t>88.40.69 (includes Roadway and Structures, excludes Geotech)</t>
  </si>
  <si>
    <t>AC</t>
  </si>
  <si>
    <t>MHR</t>
  </si>
  <si>
    <t>RDWY, DRA and TRF MHR</t>
  </si>
  <si>
    <t>eQTY</t>
  </si>
  <si>
    <t>Production</t>
  </si>
  <si>
    <t>Custom</t>
  </si>
  <si>
    <t>Applicable Job</t>
  </si>
  <si>
    <t>Yes</t>
  </si>
  <si>
    <t>FCT MHRs</t>
  </si>
  <si>
    <t>Roadway Design</t>
  </si>
  <si>
    <t>Input / Output</t>
  </si>
  <si>
    <t>Drainage Design</t>
  </si>
  <si>
    <t>eQTY: Project Area (Acres)</t>
  </si>
  <si>
    <t>Maintenance of Traffic (MOT) Design</t>
  </si>
  <si>
    <t>Traffic Design</t>
  </si>
  <si>
    <t>Retaining Wall Design</t>
  </si>
  <si>
    <t>eQTY: Wall Area (SF)</t>
  </si>
  <si>
    <t>Geotechnical Design</t>
  </si>
  <si>
    <t>eQTY: Count of Transportation Structures (EA)</t>
  </si>
  <si>
    <t>Miscellaneous Structure Design</t>
  </si>
  <si>
    <t>eQTY: Spent MHRs of Roadway, Drainage and Traffic</t>
  </si>
  <si>
    <t>Trendline Equations:</t>
  </si>
  <si>
    <t>https://www.ablebits.com/office-addins-blog/excel-trendline-types-equations-formulas/#logarithmic-trendline</t>
  </si>
  <si>
    <t>ESDC</t>
  </si>
  <si>
    <t>TSCD</t>
  </si>
  <si>
    <t>Anticipated Project Cost</t>
  </si>
  <si>
    <t>Anticipated Contract Amount</t>
  </si>
  <si>
    <t>Engineering Services During Construction (ESDC)</t>
  </si>
  <si>
    <t>eQTY: Anticipated Project Cost</t>
  </si>
  <si>
    <t>ESDC Cost</t>
  </si>
  <si>
    <t>C-70</t>
  </si>
  <si>
    <t>Temporary Structures &amp; Construction Devices (TSCD)</t>
  </si>
  <si>
    <t>E-130 LRT</t>
  </si>
  <si>
    <t>Connect 4</t>
  </si>
  <si>
    <t>Description</t>
  </si>
  <si>
    <t>CHPE</t>
  </si>
  <si>
    <t>I-25 T-REX</t>
  </si>
  <si>
    <t>MoDOT 554 Bridges</t>
  </si>
  <si>
    <t>Geneva Road</t>
  </si>
  <si>
    <t>I-15 Corridor Reconstruction</t>
  </si>
  <si>
    <t>SR-202</t>
  </si>
  <si>
    <t>DFW Connector</t>
  </si>
  <si>
    <t>PCCP</t>
  </si>
  <si>
    <t>Port Mann / Highway 1</t>
  </si>
  <si>
    <t>SR-520 Floating Bridge</t>
  </si>
  <si>
    <t>Project Neon</t>
  </si>
  <si>
    <t>Mountain View Corridor</t>
  </si>
  <si>
    <t>Arlington Memorial Bridge</t>
  </si>
  <si>
    <t>Anthony Henday-Stony Plain</t>
  </si>
  <si>
    <t>SH-183 Midtown Express</t>
  </si>
  <si>
    <t>ICC-B</t>
  </si>
  <si>
    <t>Pioneer Crossing</t>
  </si>
  <si>
    <t>I-225</t>
  </si>
  <si>
    <t>Farrington Guideway</t>
  </si>
  <si>
    <t>I-405 Renton to Bellevue</t>
  </si>
  <si>
    <t>Northwest Parkway</t>
  </si>
  <si>
    <t>Kamehameha Guideway</t>
  </si>
  <si>
    <t>Turcot</t>
  </si>
  <si>
    <t>Selmon Expressway Extension</t>
  </si>
  <si>
    <t>Southwest Calgary Ring Road</t>
  </si>
  <si>
    <t>A-25 Bridge and Highway</t>
  </si>
  <si>
    <t>BART Warm Springs</t>
  </si>
  <si>
    <t>Sea-to-Sky Highway</t>
  </si>
  <si>
    <t>WMATA Yellow / Blue Lines</t>
  </si>
  <si>
    <t>WMATA Blue / Green Lines</t>
  </si>
  <si>
    <t>Market</t>
  </si>
  <si>
    <t>City, State</t>
  </si>
  <si>
    <t>Country</t>
  </si>
  <si>
    <t>Fort Worth, TX</t>
  </si>
  <si>
    <t>USA</t>
  </si>
  <si>
    <t>Transportation, Highway</t>
  </si>
  <si>
    <t>Federal Way, WA</t>
  </si>
  <si>
    <t>Transit, Light Rail</t>
  </si>
  <si>
    <t>San Dimas, CA</t>
  </si>
  <si>
    <t>CAN</t>
  </si>
  <si>
    <t>Denver, CO</t>
  </si>
  <si>
    <t>Transportation, Bridges</t>
  </si>
  <si>
    <t>Jefferson City, CO</t>
  </si>
  <si>
    <t>Orem, UT</t>
  </si>
  <si>
    <t>Salt Lake City, UT</t>
  </si>
  <si>
    <t>Phoenix, AZ</t>
  </si>
  <si>
    <t>Dallas, TX</t>
  </si>
  <si>
    <t>Water, Pump Station</t>
  </si>
  <si>
    <t>New Orleans, LA</t>
  </si>
  <si>
    <t>Vancoucer, BC</t>
  </si>
  <si>
    <t>Ottawa, ON</t>
  </si>
  <si>
    <t>Seattle, WA</t>
  </si>
  <si>
    <t>Power, Transmission</t>
  </si>
  <si>
    <t>Las Vegas, NV</t>
  </si>
  <si>
    <t>E-360 Bellevue to Redmond</t>
  </si>
  <si>
    <t>Arlington, VA</t>
  </si>
  <si>
    <t>Edmonton, AB</t>
  </si>
  <si>
    <t>Silver Springs, MD</t>
  </si>
  <si>
    <t>Saratoga Springs, UT</t>
  </si>
  <si>
    <t>Oahu, HI</t>
  </si>
  <si>
    <t>Bellevue, WA</t>
  </si>
  <si>
    <t xml:space="preserve"> USA</t>
  </si>
  <si>
    <t>Honolulu, HI</t>
  </si>
  <si>
    <t>Montreal, QC</t>
  </si>
  <si>
    <t>Tampa, FL</t>
  </si>
  <si>
    <t>Calgary, AB</t>
  </si>
  <si>
    <t>Laval, QC</t>
  </si>
  <si>
    <t>Oakland, CA</t>
  </si>
  <si>
    <t>Alexandria, VA</t>
  </si>
  <si>
    <t>Buffalo, NY</t>
  </si>
  <si>
    <t>York Rapid Transit (D1)</t>
  </si>
  <si>
    <t>York Rapid Transit (H2)</t>
  </si>
  <si>
    <t>I-405 Kirkland</t>
  </si>
  <si>
    <t>I-440 Nashville Connector</t>
  </si>
  <si>
    <t>Transit, Bus</t>
  </si>
  <si>
    <t>WMATA Orange / Silver Lines</t>
  </si>
  <si>
    <t>New Market, ON</t>
  </si>
  <si>
    <t>Vaughan, ON</t>
  </si>
  <si>
    <t>Kirkland, WA</t>
  </si>
  <si>
    <t>Nashville, TN</t>
  </si>
  <si>
    <t>Key Quantities</t>
  </si>
  <si>
    <t>Benchmark MH</t>
  </si>
  <si>
    <t>Benchmark MH (Custom)</t>
  </si>
  <si>
    <t>Bottoms Up MH</t>
  </si>
  <si>
    <t>Benchmark Production</t>
  </si>
  <si>
    <t>Benchmark Production (Custom)</t>
  </si>
  <si>
    <t>Bottoms Up Production</t>
  </si>
  <si>
    <t>Design Management - Project Risk Assessment</t>
  </si>
  <si>
    <t>User Inputs</t>
  </si>
  <si>
    <t>Size</t>
  </si>
  <si>
    <t>Complexity</t>
  </si>
  <si>
    <t>Job Size (Total Job Value)</t>
  </si>
  <si>
    <t>Value</t>
  </si>
  <si>
    <t>Score</t>
  </si>
  <si>
    <t>Low</t>
  </si>
  <si>
    <t>Low-Med</t>
  </si>
  <si>
    <t>Med</t>
  </si>
  <si>
    <t>Med-High</t>
  </si>
  <si>
    <t>High</t>
  </si>
  <si>
    <t>Complexity Group</t>
  </si>
  <si>
    <t>&lt;$100M</t>
  </si>
  <si>
    <t>Design Duration (Months)</t>
  </si>
  <si>
    <t>$100M - $200M</t>
  </si>
  <si>
    <t>Complexity Score</t>
  </si>
  <si>
    <t>$200M - $400M</t>
  </si>
  <si>
    <t>Digital Delivery - Design Fee Manhours</t>
  </si>
  <si>
    <t>$400M - $700M</t>
  </si>
  <si>
    <t>$700M - $1B</t>
  </si>
  <si>
    <t>&gt;$1B</t>
  </si>
  <si>
    <t>WBS</t>
  </si>
  <si>
    <t>% of Estimate MH</t>
  </si>
  <si>
    <t>1.1.4</t>
  </si>
  <si>
    <t>Digital Delivery</t>
  </si>
  <si>
    <t>-</t>
  </si>
  <si>
    <t>Digital Delivery - Project Staffing Plan</t>
  </si>
  <si>
    <t>1.1.4.1</t>
  </si>
  <si>
    <t>Production Management</t>
  </si>
  <si>
    <t>PRA Score</t>
  </si>
  <si>
    <t>3 to 6</t>
  </si>
  <si>
    <t>7 to 12</t>
  </si>
  <si>
    <t>13 to 48</t>
  </si>
  <si>
    <t>&gt;48</t>
  </si>
  <si>
    <t>1.1.4.2</t>
  </si>
  <si>
    <t>Lead Responsibilities / BIM Mgmt</t>
  </si>
  <si>
    <t>Digital Delivery Staff</t>
  </si>
  <si>
    <t>1.1.4.3</t>
  </si>
  <si>
    <t>Existing Conditions &amp; Survey</t>
  </si>
  <si>
    <t>Digital Delivery Sponsor</t>
  </si>
  <si>
    <t>1.1.4.4</t>
  </si>
  <si>
    <t>CAD Management</t>
  </si>
  <si>
    <t>1.1.4.5</t>
  </si>
  <si>
    <t>BIM / CIM / VDC (Unique Client Rqmts)</t>
  </si>
  <si>
    <t>eQTY: Anticipated Contract Amount</t>
  </si>
  <si>
    <t>Digital Engineering: Complexity</t>
  </si>
  <si>
    <t>Key Quantity (Column D)</t>
  </si>
  <si>
    <t>Total MHR (All Projects)</t>
  </si>
  <si>
    <t>Total MHR (Custom Projects)</t>
  </si>
  <si>
    <t>eQTY: Relocation Count (EA)</t>
  </si>
  <si>
    <t>Utilities Design (no coordination time included)</t>
  </si>
  <si>
    <t>Totals</t>
  </si>
  <si>
    <t>Track Design</t>
  </si>
  <si>
    <t>eQTY: Track Alignment Length (TF)</t>
  </si>
  <si>
    <t>Bridge Structures</t>
  </si>
  <si>
    <t>eQTY: Bridge Deck Area (SF)</t>
  </si>
  <si>
    <t>Type</t>
  </si>
  <si>
    <t>Structure Name</t>
  </si>
  <si>
    <t>Scope</t>
  </si>
  <si>
    <t>Del Rio</t>
  </si>
  <si>
    <t>PC Girder</t>
  </si>
  <si>
    <t>Steel Girder</t>
  </si>
  <si>
    <t>Cooley Rd Bridge</t>
  </si>
  <si>
    <t>NB Bridge</t>
  </si>
  <si>
    <t>Flyover Bridge</t>
  </si>
  <si>
    <t>D11</t>
  </si>
  <si>
    <t>D14</t>
  </si>
  <si>
    <t>D13</t>
  </si>
  <si>
    <t>D12</t>
  </si>
  <si>
    <t>D15</t>
  </si>
  <si>
    <t>2B4</t>
  </si>
  <si>
    <t>2B2</t>
  </si>
  <si>
    <t>1B1</t>
  </si>
  <si>
    <t>2B3</t>
  </si>
  <si>
    <t>1B2</t>
  </si>
  <si>
    <t>3B3</t>
  </si>
  <si>
    <t>3B2</t>
  </si>
  <si>
    <t>2B1</t>
  </si>
  <si>
    <t>3B1</t>
  </si>
  <si>
    <t>LRT Lone Hill Ave</t>
  </si>
  <si>
    <t>LRT Foothill Blvd-Grand Ave</t>
  </si>
  <si>
    <t>LRT Bonita Ave - Cataract Ave</t>
  </si>
  <si>
    <t>LRT U.S. State Route 66</t>
  </si>
  <si>
    <t>LRT San Dimas Wash</t>
  </si>
  <si>
    <t>FRT San Dimas Wash</t>
  </si>
  <si>
    <t>LRT Big Dalton Wash</t>
  </si>
  <si>
    <t>LRT Live Oak Channel</t>
  </si>
  <si>
    <t>FRT Big Dalton Wash</t>
  </si>
  <si>
    <t>FRT Thompson Creek Channel</t>
  </si>
  <si>
    <t>FRT Live Oak Channel</t>
  </si>
  <si>
    <t>Bridge</t>
  </si>
  <si>
    <t>Design S2.01 - Elevated Guideway - Structure B</t>
  </si>
  <si>
    <t>Design S3.04 - Elevated Guideway - Structure G</t>
  </si>
  <si>
    <t>Design S1.01 - Elevated Guideway - Structure A</t>
  </si>
  <si>
    <t>Design S2.02B - Elevated Guideway - Structure C</t>
  </si>
  <si>
    <t>Design S3.02 - Elevated Guideway - Structure E</t>
  </si>
  <si>
    <t>Design S1.03 - SR99 Bridge</t>
  </si>
  <si>
    <t>Design S3.03 - Elevated Guideway - Structure F</t>
  </si>
  <si>
    <t>Design S3.01 - Elevated Guideway - Structure D</t>
  </si>
  <si>
    <t>Bridge 036</t>
  </si>
  <si>
    <t>Bridge 037</t>
  </si>
  <si>
    <t>Bridge 047</t>
  </si>
  <si>
    <t>Bridge 025</t>
  </si>
  <si>
    <t>Bridge 024</t>
  </si>
  <si>
    <t>Bridge 035</t>
  </si>
  <si>
    <t>Bridge 044</t>
  </si>
  <si>
    <t>Bridge 009</t>
  </si>
  <si>
    <t>Bridge 52A</t>
  </si>
  <si>
    <t>Bridge 029</t>
  </si>
  <si>
    <t>Bridge 043</t>
  </si>
  <si>
    <t>Bridge 027</t>
  </si>
  <si>
    <t>Bridge 046</t>
  </si>
  <si>
    <t>Bridge 013</t>
  </si>
  <si>
    <t>Bridge 034</t>
  </si>
  <si>
    <t>Bridge 026</t>
  </si>
  <si>
    <t>Bridge 31A</t>
  </si>
  <si>
    <t>Bridge 31B</t>
  </si>
  <si>
    <t>Bridge 054</t>
  </si>
  <si>
    <t>S1N Bridge 3</t>
  </si>
  <si>
    <t>Bridge 015</t>
  </si>
  <si>
    <t>S1N Bridge 8</t>
  </si>
  <si>
    <t>Bridge 030</t>
  </si>
  <si>
    <t>Bridge 023</t>
  </si>
  <si>
    <t>S1N Bridge 2</t>
  </si>
  <si>
    <t>Bridge 018</t>
  </si>
  <si>
    <t>Bridge 17B</t>
  </si>
  <si>
    <t>Bridge 20A</t>
  </si>
  <si>
    <t>Bridge 049</t>
  </si>
  <si>
    <t>S1N Bridge 01C</t>
  </si>
  <si>
    <t>S1N Bridge 01B</t>
  </si>
  <si>
    <t>Bridge 021</t>
  </si>
  <si>
    <t>Bridge 52B</t>
  </si>
  <si>
    <t>Bridge 38A</t>
  </si>
  <si>
    <t>Bridge 20B</t>
  </si>
  <si>
    <t>Bridge 045</t>
  </si>
  <si>
    <t>Bridge 016</t>
  </si>
  <si>
    <t>Bridge 032</t>
  </si>
  <si>
    <t>Bridge 041</t>
  </si>
  <si>
    <t>CIP Girder</t>
  </si>
  <si>
    <t>Box Girder</t>
  </si>
  <si>
    <t>CIP Slab</t>
  </si>
  <si>
    <t>PC Deck</t>
  </si>
  <si>
    <t>Multi-Span</t>
  </si>
  <si>
    <t>Single-Span</t>
  </si>
  <si>
    <t>Span Arrangement</t>
  </si>
  <si>
    <t>New/Reconstruct</t>
  </si>
  <si>
    <t>Widening/Rehab</t>
  </si>
  <si>
    <t>Unknown</t>
  </si>
  <si>
    <t>Structure Name / Number</t>
  </si>
  <si>
    <t>Location</t>
  </si>
  <si>
    <t>Allowable Multiplier</t>
  </si>
  <si>
    <t>Hourly Composite Rate</t>
  </si>
  <si>
    <t>264th Street Interchange</t>
  </si>
  <si>
    <t>Drainage</t>
  </si>
  <si>
    <t>Average</t>
  </si>
  <si>
    <t>Standard Dev.</t>
  </si>
  <si>
    <t>Open</t>
  </si>
  <si>
    <t>Productions (Project Qty)</t>
  </si>
  <si>
    <t>Benchmark uses SEC 820 production of 350 MH/EA</t>
  </si>
  <si>
    <t>Noise Wall Design</t>
  </si>
  <si>
    <t>Montreal, QB</t>
  </si>
  <si>
    <t>Goethals Bridge Replacement</t>
  </si>
  <si>
    <t>Staten Island, NY</t>
  </si>
  <si>
    <t>Midtown Express</t>
  </si>
  <si>
    <t>Irving, TX</t>
  </si>
  <si>
    <t>South Central LRT Extension</t>
  </si>
  <si>
    <t>Border West Expressway</t>
  </si>
  <si>
    <t>El Paso, TX</t>
  </si>
  <si>
    <t>Little Rock, AR</t>
  </si>
  <si>
    <t>I-225 Light Rail Corridor</t>
  </si>
  <si>
    <t>Aurora, CO</t>
  </si>
  <si>
    <t>Redmond, WA</t>
  </si>
  <si>
    <t>Selmon Expresseway Extension</t>
  </si>
  <si>
    <t>Flyway 470</t>
  </si>
  <si>
    <t>WMATA Station Rehab Contract 3</t>
  </si>
  <si>
    <t>Greenbelt, WA</t>
  </si>
  <si>
    <t>WMATA Station Rehab Contract 4</t>
  </si>
  <si>
    <t>Hyattsville, WA</t>
  </si>
  <si>
    <t>MVC 4100 South to SR-201</t>
  </si>
  <si>
    <t>West Valley City, UT</t>
  </si>
  <si>
    <t>Northwest Phase 2 LRT Extension</t>
  </si>
  <si>
    <t>Tlicho All-Season Road</t>
  </si>
  <si>
    <t>Whati, ON</t>
  </si>
  <si>
    <t>WMATA Orange / Silver Line</t>
  </si>
  <si>
    <t>WMATA Yellow Line Rehab</t>
  </si>
  <si>
    <t>Washington, DC</t>
  </si>
  <si>
    <t>I-10 Capital Corridor</t>
  </si>
  <si>
    <t>Baton Rouge, LA</t>
  </si>
  <si>
    <t>Nashville Connector</t>
  </si>
  <si>
    <t>Moosejaw</t>
  </si>
  <si>
    <t>Transporation, Highway</t>
  </si>
  <si>
    <t>Virginia, MT</t>
  </si>
  <si>
    <t>Big Thompson</t>
  </si>
  <si>
    <t>Loveland, CO</t>
  </si>
  <si>
    <t>Kingston Third Crossing</t>
  </si>
  <si>
    <t>Kingston, ON</t>
  </si>
  <si>
    <t>Porter Road</t>
  </si>
  <si>
    <t>Springdale, TX</t>
  </si>
  <si>
    <t>SR 99 Alaskan Way Viaduct Demo</t>
  </si>
  <si>
    <t>LA 1: Port Allen Canal Bridge</t>
  </si>
  <si>
    <t>Port Allen, LA</t>
  </si>
  <si>
    <t>CTA Congress Track Phase 1</t>
  </si>
  <si>
    <t>Chicago, IL</t>
  </si>
  <si>
    <t>Fort Smith</t>
  </si>
  <si>
    <t>Fort Smith, TX</t>
  </si>
  <si>
    <t>I-40 Gorge Bridge #171</t>
  </si>
  <si>
    <t>Asheville, NC</t>
  </si>
  <si>
    <t>Jack-Stone 10</t>
  </si>
  <si>
    <t>Camp Hall Rail Phase 2</t>
  </si>
  <si>
    <t>Transit, Heavy Rail</t>
  </si>
  <si>
    <t>Ridgeville, SC</t>
  </si>
  <si>
    <t>I-15 Virgin River Bridge #1</t>
  </si>
  <si>
    <t>Littlefield, AZ</t>
  </si>
  <si>
    <t>12/80 Crossing</t>
  </si>
  <si>
    <t>Suisun City, CA</t>
  </si>
  <si>
    <t>Broadway Bridge</t>
  </si>
  <si>
    <t>Nashville I-40 Fast Fix 8</t>
  </si>
  <si>
    <t>MemFix 4</t>
  </si>
  <si>
    <t>Memphis, TN</t>
  </si>
  <si>
    <t>Nolichucky Bridges</t>
  </si>
  <si>
    <t>Erwin, TN</t>
  </si>
  <si>
    <t>Stone Myers Parkway</t>
  </si>
  <si>
    <t>Coastal 29 Fish Passage 2A</t>
  </si>
  <si>
    <t>Fish Passage</t>
  </si>
  <si>
    <t>Amanda Park, WA</t>
  </si>
  <si>
    <t>Chesapeake Bay Bridge Security</t>
  </si>
  <si>
    <t>Stevensville, MD</t>
  </si>
  <si>
    <t>Glenn Highway Phase 2</t>
  </si>
  <si>
    <t>Anchorage, AK</t>
  </si>
  <si>
    <t>I-210 Prien Lake</t>
  </si>
  <si>
    <t>Prien, LA</t>
  </si>
  <si>
    <t>Lonoke Bridges</t>
  </si>
  <si>
    <t>Lonoke, TX</t>
  </si>
  <si>
    <t>TVTA VN89/VN30 Tower Bases</t>
  </si>
  <si>
    <t>New York, NY</t>
  </si>
  <si>
    <t>Coastal 29 Fish Passage 1</t>
  </si>
  <si>
    <t>Brooklyn Bridge Hazard Mitigation</t>
  </si>
  <si>
    <t>Coastal 29 Fish Passage 4</t>
  </si>
  <si>
    <t>Hoquiam, WA</t>
  </si>
  <si>
    <t>NMDOT Mora County</t>
  </si>
  <si>
    <t>Guadalupita</t>
  </si>
  <si>
    <t>Blue Oval Memphis Megasite</t>
  </si>
  <si>
    <t>Stanton, TN</t>
  </si>
  <si>
    <t>Stagecoach Ramps</t>
  </si>
  <si>
    <t>Crystal Springs Bridge</t>
  </si>
  <si>
    <t>San Mateo, CA</t>
  </si>
  <si>
    <t>CFRC Capital Improvements</t>
  </si>
  <si>
    <t>Kissimmee, FL</t>
  </si>
  <si>
    <t>MP09 Tower Elevators &amp; Rehab</t>
  </si>
  <si>
    <t>Toronto Union Station</t>
  </si>
  <si>
    <t>Toronto, ON</t>
  </si>
  <si>
    <t>Kake Access Road</t>
  </si>
  <si>
    <t>Petersburg, HI</t>
  </si>
  <si>
    <t>Unionport Foundations</t>
  </si>
  <si>
    <t>Dewey Beach Bridges</t>
  </si>
  <si>
    <t>Rehoboth, DE</t>
  </si>
  <si>
    <t>Metropolitan Ave Bascule Repairs</t>
  </si>
  <si>
    <t>Railroad Ave Extension</t>
  </si>
  <si>
    <t>Hanahan, SC</t>
  </si>
  <si>
    <t>Garland County</t>
  </si>
  <si>
    <t>Hot Springs</t>
  </si>
  <si>
    <t>SR530/Trafton Creek Fish Passage</t>
  </si>
  <si>
    <t>STC Landside Piles</t>
  </si>
  <si>
    <t>Buildings</t>
  </si>
  <si>
    <t>Orlando, FL</t>
  </si>
  <si>
    <t>CCH Kailua Roundabout</t>
  </si>
  <si>
    <t>Kailua, HI</t>
  </si>
  <si>
    <t>SFOBB Foundation Removal</t>
  </si>
  <si>
    <t>Camino Real</t>
  </si>
  <si>
    <t>Boca Raton, LA</t>
  </si>
  <si>
    <t>Kawela / Nanahu Stream Bridge</t>
  </si>
  <si>
    <t>Kahuku, HI</t>
  </si>
  <si>
    <t>Okolona Pass</t>
  </si>
  <si>
    <t>Okolona, HI</t>
  </si>
  <si>
    <t>Carrol Ave Bridge Rehab</t>
  </si>
  <si>
    <t>Takoma Park, MD</t>
  </si>
  <si>
    <t>Clark Fork Bridge</t>
  </si>
  <si>
    <t>Missoula</t>
  </si>
  <si>
    <t>SR89 Truckee River Bridge Project</t>
  </si>
  <si>
    <t>Alpine Meadows</t>
  </si>
  <si>
    <t>De Soto II</t>
  </si>
  <si>
    <t>Murphy Road Bridge Replacement</t>
  </si>
  <si>
    <t>Palm City</t>
  </si>
  <si>
    <t>Rio San Juan</t>
  </si>
  <si>
    <t>Farmington, CA</t>
  </si>
  <si>
    <t>I-75 Bridge Rehabilitation</t>
  </si>
  <si>
    <t>Kennesaw</t>
  </si>
  <si>
    <t>SR 117 Bridge over Moncrief Creek</t>
  </si>
  <si>
    <t>Jacksonville, TN</t>
  </si>
  <si>
    <t>I-40 Hernando DeSoto Repairs</t>
  </si>
  <si>
    <t>Butte Highway 11</t>
  </si>
  <si>
    <t>Butte, WY</t>
  </si>
  <si>
    <t>HDOT Kapalama Wharf</t>
  </si>
  <si>
    <t>Marine</t>
  </si>
  <si>
    <t>Conneticut State Pier</t>
  </si>
  <si>
    <t>New London, CT</t>
  </si>
  <si>
    <t>NAVFAC Bremerton Seismic</t>
  </si>
  <si>
    <t>Bremerton, WA</t>
  </si>
  <si>
    <t>Fairview Phase 2 Expansion</t>
  </si>
  <si>
    <t>Prince Rupert, ON</t>
  </si>
  <si>
    <t>MOTCO Pier 2 Replacement</t>
  </si>
  <si>
    <t>Concord, CA</t>
  </si>
  <si>
    <t>BAEJSR Shiplift Drydock</t>
  </si>
  <si>
    <t>Jacksonville, FL</t>
  </si>
  <si>
    <t>Plaquemines LNG Marine Ph 2</t>
  </si>
  <si>
    <t>Port Sulphur, LA</t>
  </si>
  <si>
    <t>Empire Floodgate</t>
  </si>
  <si>
    <t>Empire, LA</t>
  </si>
  <si>
    <t>Dallas Floodway 277K Levee Raise</t>
  </si>
  <si>
    <t>Permanente Creek McKelvey Park</t>
  </si>
  <si>
    <t>Mountain View, CA</t>
  </si>
  <si>
    <t>West Container Yard Expansion</t>
  </si>
  <si>
    <t>Greer, SC</t>
  </si>
  <si>
    <t>Southport Turning Notch</t>
  </si>
  <si>
    <t>Hollywood, FL</t>
  </si>
  <si>
    <t>C&amp;O Canal Historic Stone Wall</t>
  </si>
  <si>
    <t>Williamsport, MD</t>
  </si>
  <si>
    <t>St. Paul Harbor Breakwater</t>
  </si>
  <si>
    <t>St. Paul, WA</t>
  </si>
  <si>
    <t>Ponce Inlet North Jetty</t>
  </si>
  <si>
    <t>Ponce Inlet, FL</t>
  </si>
  <si>
    <t>LNYBL Cross Bay Resiliency</t>
  </si>
  <si>
    <t>SYC Ph 1 Marine Bulkhead</t>
  </si>
  <si>
    <t>Savannah, GA</t>
  </si>
  <si>
    <t>Berryessa Flood Control Impvmt</t>
  </si>
  <si>
    <t>Milpitas, CA</t>
  </si>
  <si>
    <t>GPA ERT Dock Refurbishments</t>
  </si>
  <si>
    <t>Brunswick, GA</t>
  </si>
  <si>
    <t>Jaxport Berth 22 Dolphins</t>
  </si>
  <si>
    <t>Vulcan MD Quarry Bulkhead</t>
  </si>
  <si>
    <t>Hacre de Grace, ON</t>
  </si>
  <si>
    <t>GPA Mayor's Point Fender System</t>
  </si>
  <si>
    <t>Waikiki Seawall Improvements</t>
  </si>
  <si>
    <t>Doral Gravity Wall</t>
  </si>
  <si>
    <t>Doral, FL</t>
  </si>
  <si>
    <t>No track work anticipated in SOW</t>
  </si>
  <si>
    <t>No systems work anticipated in SOW</t>
  </si>
  <si>
    <t>Custom: SEC 820, I-15, I-17, US 97, 264th</t>
  </si>
  <si>
    <t>Custom: SEC 820, I-15, I-17, US 97, 264th, 30 Crossing</t>
  </si>
  <si>
    <t>Custom: SEC 820, I-15, US 97, 264th</t>
  </si>
  <si>
    <t>Custom: SEC 820, I-15, 30 Crossing, US 97</t>
  </si>
  <si>
    <t>Custom: SEC 820, I-15, I-17, US 97</t>
  </si>
  <si>
    <t>Custom: SEC 820, I-15, I-17, 264th</t>
  </si>
  <si>
    <t>Single Span</t>
  </si>
  <si>
    <t>Rehabilitation</t>
  </si>
  <si>
    <t>Bridges (Total)</t>
  </si>
  <si>
    <t>88.40.69  (includes Roadway and Structures, excludes Geotech)</t>
  </si>
  <si>
    <t>Wall Area</t>
  </si>
  <si>
    <t xml:space="preserve">Benchmark: SEC 820 </t>
  </si>
  <si>
    <t>Non-Benchmarked Discipline</t>
  </si>
  <si>
    <t>Honoapiilani Highway Improvements  |  02.09.2026</t>
  </si>
  <si>
    <t>Start Date</t>
  </si>
  <si>
    <t>End Date</t>
  </si>
  <si>
    <t>weeks</t>
  </si>
  <si>
    <t>days</t>
  </si>
  <si>
    <t>monhts</t>
  </si>
  <si>
    <t>Assumed medium complexity, 24 months base design duration</t>
  </si>
  <si>
    <t>Walls (Total)</t>
  </si>
  <si>
    <t>Custom: SEC 820, I-15, 30 Crossing, US 97 - All retaining walls, no sound walls</t>
  </si>
  <si>
    <t>Awalua</t>
  </si>
  <si>
    <t>Lihau</t>
  </si>
  <si>
    <t>Oluwalu</t>
  </si>
  <si>
    <t>Upper Oluwalu</t>
  </si>
  <si>
    <t>Luawai</t>
  </si>
  <si>
    <t>Ka'ili'ili</t>
  </si>
  <si>
    <t>Ukumehame</t>
  </si>
  <si>
    <t>Papalaua Viaduct</t>
  </si>
  <si>
    <t>Bridge - Precast Girder - Single Span</t>
  </si>
  <si>
    <t>Bridge - Precast Girder - Multi Span</t>
  </si>
  <si>
    <t>All PC Girder - Benchmark based on I-15, I-17, SEC 820, US 97 PC bridges</t>
  </si>
  <si>
    <t>Bridges (Vehicle - PC Girder - Single Span)</t>
  </si>
  <si>
    <t>Bridges (Vehicle - PC Girder - Multi Span)</t>
  </si>
  <si>
    <t>Benchmark based on I-15, I-17, SEC 820, US 97 PC single span bridges</t>
  </si>
  <si>
    <t>Benchmark based on I-15, I-17, SEC 820,  PC multi span bridges</t>
  </si>
  <si>
    <t>[OTHER DISCIPLINE]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</si>
</sst>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00_);_(* \(#,##0.000\);_(* &quot;-&quot;??_);_(@_)"/>
    <numFmt numFmtId="167" formatCode="_(&quot;$&quot;* #,##0_);_(&quot;$&quot;* \(#,##0\);_(&quot;$&quot;* &quot;-&quot;??_);_(@_)"/>
    <numFmt numFmtId="168" formatCode="0.0000"/>
    <numFmt numFmtId="169" formatCode="#,##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rgb="FFFFFFFF"/>
      <name val="Aptos Narrow"/>
      <family val="2"/>
    </font>
    <font>
      <b/>
      <sz val="11"/>
      <color theme="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i/>
      <sz val="11"/>
      <color theme="3" tint="0.499984740745262"/>
      <name val="Aptos Narrow"/>
      <family val="2"/>
      <scheme val="minor"/>
    </font>
    <font>
      <b/>
      <i/>
      <sz val="11"/>
      <color rgb="FF000000"/>
      <name val="Aptos"/>
      <family val="2"/>
    </font>
    <font>
      <u/>
      <sz val="11"/>
      <color theme="10"/>
      <name val="Aptos Narrow"/>
      <family val="2"/>
      <scheme val="minor"/>
    </font>
    <font>
      <sz val="7"/>
      <color rgb="FF242424"/>
      <name val="Consolas"/>
      <family val="3"/>
    </font>
    <font>
      <sz val="8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3F3F7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0"/>
    <xf numFmtId="0" fontId="17" fillId="8" borderId="38" applyNumberFormat="0" applyAlignment="0" applyProtection="0"/>
  </cellStyleXfs>
  <cellXfs count="174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0" fillId="0" borderId="0" xfId="0" applyNumberFormat="1"/>
    <xf numFmtId="2" fontId="0" fillId="0" borderId="0" xfId="0" applyNumberFormat="1"/>
    <xf numFmtId="44" fontId="0" fillId="0" borderId="1" xfId="2" applyFont="1" applyBorder="1"/>
    <xf numFmtId="44" fontId="0" fillId="0" borderId="0" xfId="0" applyNumberFormat="1"/>
    <xf numFmtId="10" fontId="0" fillId="0" borderId="1" xfId="3" applyNumberFormat="1" applyFont="1" applyBorder="1" applyAlignment="1">
      <alignment horizontal="center"/>
    </xf>
    <xf numFmtId="164" fontId="4" fillId="4" borderId="1" xfId="1" applyNumberFormat="1" applyFont="1" applyFill="1" applyBorder="1" applyAlignment="1">
      <alignment horizontal="right" vertical="center" wrapText="1"/>
    </xf>
    <xf numFmtId="164" fontId="4" fillId="4" borderId="1" xfId="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vertical="center" wrapText="1"/>
    </xf>
    <xf numFmtId="164" fontId="8" fillId="0" borderId="1" xfId="1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166" fontId="8" fillId="0" borderId="1" xfId="1" applyNumberFormat="1" applyFont="1" applyFill="1" applyBorder="1" applyAlignment="1">
      <alignment horizontal="right" vertical="center" wrapText="1"/>
    </xf>
    <xf numFmtId="164" fontId="4" fillId="0" borderId="1" xfId="1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4" fontId="4" fillId="4" borderId="1" xfId="1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2" fillId="0" borderId="0" xfId="0" applyFont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5" borderId="29" xfId="0" applyFill="1" applyBorder="1" applyAlignment="1">
      <alignment horizontal="center"/>
    </xf>
    <xf numFmtId="0" fontId="0" fillId="0" borderId="9" xfId="0" applyBorder="1"/>
    <xf numFmtId="0" fontId="0" fillId="0" borderId="1" xfId="0" applyBorder="1" applyAlignment="1">
      <alignment horizontal="left" indent="2"/>
    </xf>
    <xf numFmtId="9" fontId="0" fillId="0" borderId="3" xfId="3" applyFont="1" applyBorder="1" applyAlignment="1">
      <alignment horizontal="center"/>
    </xf>
    <xf numFmtId="1" fontId="0" fillId="5" borderId="30" xfId="0" applyNumberForma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0" borderId="11" xfId="0" applyBorder="1"/>
    <xf numFmtId="0" fontId="0" fillId="0" borderId="25" xfId="0" applyBorder="1" applyAlignment="1">
      <alignment horizontal="left" indent="2"/>
    </xf>
    <xf numFmtId="9" fontId="0" fillId="0" borderId="24" xfId="3" applyFont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167" fontId="0" fillId="7" borderId="23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3" fillId="0" borderId="0" xfId="4"/>
    <xf numFmtId="165" fontId="0" fillId="0" borderId="0" xfId="0" applyNumberFormat="1"/>
    <xf numFmtId="165" fontId="14" fillId="0" borderId="0" xfId="0" applyNumberFormat="1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164" fontId="4" fillId="0" borderId="1" xfId="1" applyNumberFormat="1" applyFont="1" applyFill="1" applyBorder="1" applyAlignment="1">
      <alignment horizontal="right" vertical="center" wrapText="1"/>
    </xf>
    <xf numFmtId="164" fontId="5" fillId="0" borderId="1" xfId="0" applyNumberFormat="1" applyFont="1" applyBorder="1"/>
    <xf numFmtId="3" fontId="0" fillId="0" borderId="1" xfId="2" applyNumberFormat="1" applyFont="1" applyBorder="1"/>
    <xf numFmtId="169" fontId="0" fillId="0" borderId="1" xfId="2" applyNumberFormat="1" applyFont="1" applyBorder="1"/>
    <xf numFmtId="0" fontId="0" fillId="0" borderId="2" xfId="0" applyBorder="1"/>
    <xf numFmtId="165" fontId="0" fillId="0" borderId="3" xfId="0" applyNumberFormat="1" applyBorder="1" applyAlignment="1">
      <alignment horizontal="center"/>
    </xf>
    <xf numFmtId="0" fontId="2" fillId="5" borderId="32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5" borderId="26" xfId="0" applyFont="1" applyFill="1" applyBorder="1" applyAlignment="1">
      <alignment horizontal="center"/>
    </xf>
    <xf numFmtId="0" fontId="0" fillId="0" borderId="36" xfId="0" applyBorder="1"/>
    <xf numFmtId="164" fontId="0" fillId="0" borderId="4" xfId="1" applyNumberFormat="1" applyFont="1" applyBorder="1"/>
    <xf numFmtId="164" fontId="0" fillId="0" borderId="4" xfId="1" applyNumberFormat="1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3" fontId="2" fillId="5" borderId="1" xfId="0" applyNumberFormat="1" applyFont="1" applyFill="1" applyBorder="1"/>
    <xf numFmtId="44" fontId="0" fillId="0" borderId="0" xfId="2" applyFont="1"/>
    <xf numFmtId="166" fontId="8" fillId="4" borderId="1" xfId="1" applyNumberFormat="1" applyFont="1" applyFill="1" applyBorder="1" applyAlignment="1">
      <alignment horizontal="right" vertical="center" wrapText="1"/>
    </xf>
    <xf numFmtId="167" fontId="4" fillId="4" borderId="1" xfId="2" applyNumberFormat="1" applyFont="1" applyFill="1" applyBorder="1" applyAlignment="1">
      <alignment vertical="center" wrapText="1"/>
    </xf>
    <xf numFmtId="167" fontId="8" fillId="4" borderId="1" xfId="2" applyNumberFormat="1" applyFont="1" applyFill="1" applyBorder="1" applyAlignment="1">
      <alignment horizontal="right" vertical="center" wrapText="1"/>
    </xf>
    <xf numFmtId="2" fontId="0" fillId="0" borderId="1" xfId="0" applyNumberFormat="1" applyBorder="1" applyAlignment="1">
      <alignment horizontal="right"/>
    </xf>
    <xf numFmtId="168" fontId="0" fillId="0" borderId="0" xfId="0" applyNumberFormat="1"/>
    <xf numFmtId="0" fontId="2" fillId="5" borderId="1" xfId="0" applyFont="1" applyFill="1" applyBorder="1"/>
    <xf numFmtId="164" fontId="2" fillId="5" borderId="1" xfId="1" applyNumberFormat="1" applyFont="1" applyFill="1" applyBorder="1"/>
    <xf numFmtId="164" fontId="2" fillId="5" borderId="1" xfId="1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right"/>
    </xf>
    <xf numFmtId="165" fontId="2" fillId="5" borderId="1" xfId="0" applyNumberFormat="1" applyFont="1" applyFill="1" applyBorder="1" applyAlignment="1">
      <alignment horizontal="center"/>
    </xf>
    <xf numFmtId="164" fontId="0" fillId="5" borderId="1" xfId="1" applyNumberFormat="1" applyFont="1" applyFill="1" applyBorder="1"/>
    <xf numFmtId="164" fontId="0" fillId="5" borderId="1" xfId="0" applyNumberFormat="1" applyFill="1" applyBorder="1"/>
    <xf numFmtId="165" fontId="0" fillId="4" borderId="1" xfId="0" applyNumberForma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4" fontId="0" fillId="7" borderId="1" xfId="1" applyNumberFormat="1" applyFont="1" applyFill="1" applyBorder="1"/>
    <xf numFmtId="165" fontId="0" fillId="4" borderId="4" xfId="0" applyNumberFormat="1" applyFill="1" applyBorder="1" applyAlignment="1">
      <alignment horizontal="center"/>
    </xf>
    <xf numFmtId="0" fontId="0" fillId="4" borderId="1" xfId="0" applyFill="1" applyBorder="1"/>
    <xf numFmtId="3" fontId="0" fillId="4" borderId="1" xfId="2" applyNumberFormat="1" applyFont="1" applyFill="1" applyBorder="1"/>
    <xf numFmtId="168" fontId="0" fillId="4" borderId="1" xfId="0" applyNumberFormat="1" applyFill="1" applyBorder="1"/>
    <xf numFmtId="165" fontId="0" fillId="7" borderId="1" xfId="0" applyNumberFormat="1" applyFill="1" applyBorder="1" applyAlignment="1">
      <alignment horizontal="center"/>
    </xf>
    <xf numFmtId="10" fontId="0" fillId="0" borderId="1" xfId="3" applyNumberFormat="1" applyFont="1" applyBorder="1" applyAlignment="1"/>
    <xf numFmtId="165" fontId="0" fillId="0" borderId="1" xfId="0" applyNumberFormat="1" applyBorder="1"/>
    <xf numFmtId="10" fontId="2" fillId="5" borderId="1" xfId="3" applyNumberFormat="1" applyFont="1" applyFill="1" applyBorder="1" applyAlignment="1"/>
    <xf numFmtId="10" fontId="2" fillId="7" borderId="1" xfId="3" applyNumberFormat="1" applyFont="1" applyFill="1" applyBorder="1" applyAlignment="1"/>
    <xf numFmtId="44" fontId="0" fillId="5" borderId="1" xfId="2" applyFont="1" applyFill="1" applyBorder="1"/>
    <xf numFmtId="0" fontId="4" fillId="0" borderId="1" xfId="0" applyFont="1" applyBorder="1" applyAlignment="1">
      <alignment vertical="center"/>
    </xf>
    <xf numFmtId="0" fontId="2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31" xfId="0" applyFont="1" applyBorder="1" applyAlignment="1">
      <alignment horizontal="center"/>
    </xf>
    <xf numFmtId="16" fontId="2" fillId="0" borderId="17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9" fontId="4" fillId="0" borderId="0" xfId="3" applyFont="1"/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164" fontId="4" fillId="0" borderId="0" xfId="0" applyNumberFormat="1" applyFont="1"/>
    <xf numFmtId="0" fontId="4" fillId="0" borderId="37" xfId="0" applyFont="1" applyBorder="1"/>
    <xf numFmtId="1" fontId="0" fillId="0" borderId="0" xfId="0" applyNumberFormat="1"/>
    <xf numFmtId="0" fontId="0" fillId="6" borderId="33" xfId="0" applyFill="1" applyBorder="1" applyAlignment="1">
      <alignment horizontal="center"/>
    </xf>
    <xf numFmtId="0" fontId="0" fillId="6" borderId="34" xfId="0" applyFill="1" applyBorder="1" applyAlignment="1">
      <alignment horizontal="center"/>
    </xf>
    <xf numFmtId="14" fontId="17" fillId="8" borderId="38" xfId="6" applyNumberFormat="1"/>
    <xf numFmtId="10" fontId="4" fillId="0" borderId="0" xfId="3" applyNumberFormat="1" applyFont="1"/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35" xfId="0" applyBorder="1" applyAlignment="1">
      <alignment horizontal="left"/>
    </xf>
    <xf numFmtId="0" fontId="0" fillId="0" borderId="34" xfId="0" applyBorder="1" applyAlignment="1">
      <alignment horizontal="left"/>
    </xf>
    <xf numFmtId="0" fontId="2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2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2" xfId="0" applyFont="1" applyBorder="1" applyAlignment="1">
      <alignment horizontal="left"/>
    </xf>
  </cellXfs>
  <cellStyles count="7">
    <cellStyle name="Comma" xfId="1" builtinId="3"/>
    <cellStyle name="Currency" xfId="2" builtinId="4"/>
    <cellStyle name="Hyperlink" xfId="4" builtinId="8"/>
    <cellStyle name="Input" xfId="6" builtinId="20"/>
    <cellStyle name="Normal" xfId="0" builtinId="0"/>
    <cellStyle name="Normal 2" xfId="5" xr:uid="{FDD91173-0E51-4A59-9C0A-DD093DEC34C2}"/>
    <cellStyle name="Percent" xfId="3" builtinId="5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#,##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Drainage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DRN!$C$5:$C$15</c:f>
              <c:numCache>
                <c:formatCode>_(* #,##0_);_(* \(#,##0\);_(* "-"??_);_(@_)</c:formatCode>
                <c:ptCount val="11"/>
                <c:pt idx="0">
                  <c:v>872</c:v>
                </c:pt>
                <c:pt idx="1">
                  <c:v>3.3</c:v>
                </c:pt>
                <c:pt idx="2">
                  <c:v>16</c:v>
                </c:pt>
                <c:pt idx="3">
                  <c:v>104</c:v>
                </c:pt>
                <c:pt idx="4">
                  <c:v>133</c:v>
                </c:pt>
                <c:pt idx="5">
                  <c:v>119</c:v>
                </c:pt>
                <c:pt idx="6">
                  <c:v>194</c:v>
                </c:pt>
                <c:pt idx="7">
                  <c:v>2171</c:v>
                </c:pt>
                <c:pt idx="8">
                  <c:v>560</c:v>
                </c:pt>
                <c:pt idx="9">
                  <c:v>33</c:v>
                </c:pt>
                <c:pt idx="10">
                  <c:v>193</c:v>
                </c:pt>
              </c:numCache>
            </c:numRef>
          </c:xVal>
          <c:yVal>
            <c:numRef>
              <c:f>DRN!$E$5:$E$15</c:f>
              <c:numCache>
                <c:formatCode>0.00</c:formatCode>
                <c:ptCount val="11"/>
                <c:pt idx="0">
                  <c:v>161.88188073394497</c:v>
                </c:pt>
                <c:pt idx="1">
                  <c:v>669.39393939393938</c:v>
                </c:pt>
                <c:pt idx="2">
                  <c:v>309.25</c:v>
                </c:pt>
                <c:pt idx="3">
                  <c:v>1178.1442307692307</c:v>
                </c:pt>
                <c:pt idx="4">
                  <c:v>55.789473684210527</c:v>
                </c:pt>
                <c:pt idx="5">
                  <c:v>611.24369747899163</c:v>
                </c:pt>
                <c:pt idx="6">
                  <c:v>74.706185567010309</c:v>
                </c:pt>
                <c:pt idx="7">
                  <c:v>22.085214187010592</c:v>
                </c:pt>
                <c:pt idx="8">
                  <c:v>20.541071428571428</c:v>
                </c:pt>
                <c:pt idx="9">
                  <c:v>235.96969696969697</c:v>
                </c:pt>
                <c:pt idx="10">
                  <c:v>61.051813471502591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8-46AA-8DE5-EF22C956A123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(DRN!$C$5,DRN!$C$11:$C$12,DRN!$C$14:$C$15)</c:f>
              <c:numCache>
                <c:formatCode>_(* #,##0_);_(* \(#,##0\);_(* "-"??_);_(@_)</c:formatCode>
                <c:ptCount val="5"/>
                <c:pt idx="0">
                  <c:v>872</c:v>
                </c:pt>
                <c:pt idx="1">
                  <c:v>194</c:v>
                </c:pt>
                <c:pt idx="2">
                  <c:v>2171</c:v>
                </c:pt>
                <c:pt idx="3">
                  <c:v>33</c:v>
                </c:pt>
                <c:pt idx="4">
                  <c:v>193</c:v>
                </c:pt>
              </c:numCache>
            </c:numRef>
          </c:xVal>
          <c:yVal>
            <c:numRef>
              <c:f>(DRN!$G$5,DRN!$G$11:$G$12,DRN!$G$14:$G$15)</c:f>
              <c:numCache>
                <c:formatCode>0.00</c:formatCode>
                <c:ptCount val="5"/>
                <c:pt idx="0">
                  <c:v>161.88188073394497</c:v>
                </c:pt>
                <c:pt idx="1">
                  <c:v>74.706185567010309</c:v>
                </c:pt>
                <c:pt idx="2">
                  <c:v>22.085214187010592</c:v>
                </c:pt>
                <c:pt idx="3">
                  <c:v>235.96969696969697</c:v>
                </c:pt>
                <c:pt idx="4">
                  <c:v>61.051813471502591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68-46AA-8DE5-EF22C956A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Drainage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MOT!$C$5:$C$15</c:f>
              <c:numCache>
                <c:formatCode>_(* #,##0_);_(* \(#,##0\);_(* "-"??_);_(@_)</c:formatCode>
                <c:ptCount val="11"/>
                <c:pt idx="0">
                  <c:v>550674</c:v>
                </c:pt>
                <c:pt idx="1">
                  <c:v>1120</c:v>
                </c:pt>
                <c:pt idx="2">
                  <c:v>2300</c:v>
                </c:pt>
                <c:pt idx="3">
                  <c:v>83559</c:v>
                </c:pt>
                <c:pt idx="4">
                  <c:v>25667</c:v>
                </c:pt>
                <c:pt idx="5">
                  <c:v>17105</c:v>
                </c:pt>
                <c:pt idx="6">
                  <c:v>48206</c:v>
                </c:pt>
                <c:pt idx="7">
                  <c:v>325987</c:v>
                </c:pt>
                <c:pt idx="8">
                  <c:v>547047</c:v>
                </c:pt>
                <c:pt idx="9">
                  <c:v>107830</c:v>
                </c:pt>
                <c:pt idx="10">
                  <c:v>51920</c:v>
                </c:pt>
              </c:numCache>
            </c:numRef>
          </c:xVal>
          <c:yVal>
            <c:numRef>
              <c:f>MOT!$E$5:$E$15</c:f>
              <c:numCache>
                <c:formatCode>0.000</c:formatCode>
                <c:ptCount val="11"/>
                <c:pt idx="0">
                  <c:v>0.30992565474309663</c:v>
                </c:pt>
                <c:pt idx="1">
                  <c:v>3.2544642857142856</c:v>
                </c:pt>
                <c:pt idx="2">
                  <c:v>0.45652173913043476</c:v>
                </c:pt>
                <c:pt idx="3">
                  <c:v>0.3866130518555751</c:v>
                </c:pt>
                <c:pt idx="4">
                  <c:v>0.13636186543031908</c:v>
                </c:pt>
                <c:pt idx="5">
                  <c:v>0.46027477345805318</c:v>
                </c:pt>
                <c:pt idx="6">
                  <c:v>0.23364311496494211</c:v>
                </c:pt>
                <c:pt idx="7">
                  <c:v>4.2538506136747783E-2</c:v>
                </c:pt>
                <c:pt idx="8">
                  <c:v>0.13237253837421648</c:v>
                </c:pt>
                <c:pt idx="9">
                  <c:v>6.8292682926829273E-2</c:v>
                </c:pt>
                <c:pt idx="10">
                  <c:v>0.48934899845916796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73-450E-AA2F-9C3D93184510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(MOT!$C$5,MOT!$C$8:$C$9,MOT!$C$11:$C$12,MOT!$C$14:$C$15)</c:f>
              <c:numCache>
                <c:formatCode>_(* #,##0_);_(* \(#,##0\);_(* "-"??_);_(@_)</c:formatCode>
                <c:ptCount val="7"/>
                <c:pt idx="0">
                  <c:v>550674</c:v>
                </c:pt>
                <c:pt idx="1">
                  <c:v>83559</c:v>
                </c:pt>
                <c:pt idx="2">
                  <c:v>25667</c:v>
                </c:pt>
                <c:pt idx="3">
                  <c:v>48206</c:v>
                </c:pt>
                <c:pt idx="4">
                  <c:v>325987</c:v>
                </c:pt>
                <c:pt idx="5">
                  <c:v>107830</c:v>
                </c:pt>
                <c:pt idx="6">
                  <c:v>51920</c:v>
                </c:pt>
              </c:numCache>
            </c:numRef>
          </c:xVal>
          <c:yVal>
            <c:numRef>
              <c:f>(MOT!$G$5,MOT!$G$8:$G$9,MOT!$G$11:$G$12,MOT!$G$14:$G$15)</c:f>
              <c:numCache>
                <c:formatCode>0.000</c:formatCode>
                <c:ptCount val="7"/>
                <c:pt idx="0">
                  <c:v>0.30992565474309663</c:v>
                </c:pt>
                <c:pt idx="3">
                  <c:v>0.23364311496494211</c:v>
                </c:pt>
                <c:pt idx="4">
                  <c:v>4.2538506136747783E-2</c:v>
                </c:pt>
                <c:pt idx="5">
                  <c:v>6.8292682926829273E-2</c:v>
                </c:pt>
                <c:pt idx="6">
                  <c:v>0.48934899845916796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73-450E-AA2F-9C3D9318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Roadway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RDWY!$C$5:$C$18</c:f>
              <c:numCache>
                <c:formatCode>_(* #,##0_);_(* \(#,##0\);_(* "-"??_);_(@_)</c:formatCode>
                <c:ptCount val="14"/>
                <c:pt idx="0">
                  <c:v>550674</c:v>
                </c:pt>
                <c:pt idx="1">
                  <c:v>1120</c:v>
                </c:pt>
                <c:pt idx="2">
                  <c:v>2300</c:v>
                </c:pt>
                <c:pt idx="3">
                  <c:v>165248</c:v>
                </c:pt>
                <c:pt idx="4">
                  <c:v>180566</c:v>
                </c:pt>
                <c:pt idx="5">
                  <c:v>120338</c:v>
                </c:pt>
                <c:pt idx="6">
                  <c:v>48206</c:v>
                </c:pt>
                <c:pt idx="7">
                  <c:v>325987</c:v>
                </c:pt>
                <c:pt idx="8">
                  <c:v>556235</c:v>
                </c:pt>
                <c:pt idx="9">
                  <c:v>2807</c:v>
                </c:pt>
                <c:pt idx="10">
                  <c:v>57768</c:v>
                </c:pt>
                <c:pt idx="11">
                  <c:v>23450</c:v>
                </c:pt>
                <c:pt idx="12">
                  <c:v>102183</c:v>
                </c:pt>
                <c:pt idx="13">
                  <c:v>51920</c:v>
                </c:pt>
              </c:numCache>
            </c:numRef>
          </c:xVal>
          <c:yVal>
            <c:numRef>
              <c:f>RDWY!$E$5:$E$18</c:f>
              <c:numCache>
                <c:formatCode>0.000</c:formatCode>
                <c:ptCount val="14"/>
                <c:pt idx="0">
                  <c:v>0.24212510487148475</c:v>
                </c:pt>
                <c:pt idx="1">
                  <c:v>4.0678571428571431</c:v>
                </c:pt>
                <c:pt idx="2">
                  <c:v>2.6508695652173913</c:v>
                </c:pt>
                <c:pt idx="3">
                  <c:v>0.45216886134779238</c:v>
                </c:pt>
                <c:pt idx="4">
                  <c:v>7.3540976706578207E-2</c:v>
                </c:pt>
                <c:pt idx="5">
                  <c:v>0.48333859628712461</c:v>
                </c:pt>
                <c:pt idx="6">
                  <c:v>0.50294569140770862</c:v>
                </c:pt>
                <c:pt idx="7">
                  <c:v>0.16323043556951658</c:v>
                </c:pt>
                <c:pt idx="8">
                  <c:v>0.34532886280079461</c:v>
                </c:pt>
                <c:pt idx="9">
                  <c:v>0.1948699679372996</c:v>
                </c:pt>
                <c:pt idx="10">
                  <c:v>0.70812560587176288</c:v>
                </c:pt>
                <c:pt idx="11">
                  <c:v>0.14541577825159915</c:v>
                </c:pt>
                <c:pt idx="12">
                  <c:v>0.2087431373124688</c:v>
                </c:pt>
                <c:pt idx="13">
                  <c:v>0.51933744221879818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E9-4FC8-89CA-C1ADEF32D126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(RDWY!$C$5,RDWY!$C$11:$C$12,RDWY!$C$15,RDWY!$C$17:$C$18)</c:f>
              <c:numCache>
                <c:formatCode>_(* #,##0_);_(* \(#,##0\);_(* "-"??_);_(@_)</c:formatCode>
                <c:ptCount val="6"/>
                <c:pt idx="0">
                  <c:v>550674</c:v>
                </c:pt>
                <c:pt idx="1">
                  <c:v>48206</c:v>
                </c:pt>
                <c:pt idx="2">
                  <c:v>325987</c:v>
                </c:pt>
                <c:pt idx="3">
                  <c:v>57768</c:v>
                </c:pt>
                <c:pt idx="4">
                  <c:v>102183</c:v>
                </c:pt>
                <c:pt idx="5">
                  <c:v>51920</c:v>
                </c:pt>
              </c:numCache>
            </c:numRef>
          </c:xVal>
          <c:yVal>
            <c:numRef>
              <c:f>(RDWY!$G$5,RDWY!$G$11:$G$12,RDWY!$G$15,RDWY!$G$17:$G$18)</c:f>
              <c:numCache>
                <c:formatCode>0.000</c:formatCode>
                <c:ptCount val="6"/>
                <c:pt idx="0">
                  <c:v>0.24212510487148475</c:v>
                </c:pt>
                <c:pt idx="1">
                  <c:v>0.50294569140770862</c:v>
                </c:pt>
                <c:pt idx="2">
                  <c:v>0.16323043556951658</c:v>
                </c:pt>
                <c:pt idx="3">
                  <c:v>0.70812560587176288</c:v>
                </c:pt>
                <c:pt idx="4">
                  <c:v>0.2087431373124688</c:v>
                </c:pt>
                <c:pt idx="5">
                  <c:v>0.51933744221879818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E9-4FC8-89CA-C1ADEF32D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Traffic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TRF!$C$5:$C$13</c:f>
              <c:numCache>
                <c:formatCode>_(* #,##0_);_(* \(#,##0\);_(* "-"??_);_(@_)</c:formatCode>
                <c:ptCount val="9"/>
                <c:pt idx="0">
                  <c:v>550674</c:v>
                </c:pt>
                <c:pt idx="1">
                  <c:v>83559</c:v>
                </c:pt>
                <c:pt idx="2">
                  <c:v>25667</c:v>
                </c:pt>
                <c:pt idx="3">
                  <c:v>17105</c:v>
                </c:pt>
                <c:pt idx="4">
                  <c:v>48206</c:v>
                </c:pt>
                <c:pt idx="5">
                  <c:v>325987</c:v>
                </c:pt>
                <c:pt idx="6">
                  <c:v>57768</c:v>
                </c:pt>
                <c:pt idx="7">
                  <c:v>102183</c:v>
                </c:pt>
                <c:pt idx="8">
                  <c:v>51920</c:v>
                </c:pt>
              </c:numCache>
            </c:numRef>
          </c:xVal>
          <c:yVal>
            <c:numRef>
              <c:f>TRF!$E$5:$E$13</c:f>
              <c:numCache>
                <c:formatCode>0.000</c:formatCode>
                <c:ptCount val="9"/>
                <c:pt idx="0">
                  <c:v>7.9598818901927451E-2</c:v>
                </c:pt>
                <c:pt idx="1">
                  <c:v>0.5030816548785888</c:v>
                </c:pt>
                <c:pt idx="2">
                  <c:v>0.16690692328671056</c:v>
                </c:pt>
                <c:pt idx="3">
                  <c:v>0.72551885413621753</c:v>
                </c:pt>
                <c:pt idx="4">
                  <c:v>0.57258432560262207</c:v>
                </c:pt>
                <c:pt idx="5">
                  <c:v>3.7495360244426922E-2</c:v>
                </c:pt>
                <c:pt idx="6">
                  <c:v>0.32685916078105526</c:v>
                </c:pt>
                <c:pt idx="7">
                  <c:v>1.7644813716567335E-2</c:v>
                </c:pt>
                <c:pt idx="8">
                  <c:v>0.1088020030816641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3-4924-9CCF-4B12F816D165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(TRF!$C$5,TRF!$C$9:$C$13)</c:f>
              <c:numCache>
                <c:formatCode>_(* #,##0_);_(* \(#,##0\);_(* "-"??_);_(@_)</c:formatCode>
                <c:ptCount val="6"/>
                <c:pt idx="0">
                  <c:v>550674</c:v>
                </c:pt>
                <c:pt idx="1">
                  <c:v>48206</c:v>
                </c:pt>
                <c:pt idx="2">
                  <c:v>325987</c:v>
                </c:pt>
                <c:pt idx="3">
                  <c:v>57768</c:v>
                </c:pt>
                <c:pt idx="4">
                  <c:v>102183</c:v>
                </c:pt>
                <c:pt idx="5">
                  <c:v>51920</c:v>
                </c:pt>
              </c:numCache>
            </c:numRef>
          </c:xVal>
          <c:yVal>
            <c:numRef>
              <c:f>(TRF!$G$5,TRF!$G$9:$G$13)</c:f>
              <c:numCache>
                <c:formatCode>0.000</c:formatCode>
                <c:ptCount val="6"/>
                <c:pt idx="0">
                  <c:v>7.9598818901927451E-2</c:v>
                </c:pt>
                <c:pt idx="1">
                  <c:v>0.57258432560262207</c:v>
                </c:pt>
                <c:pt idx="2">
                  <c:v>3.7495360244426922E-2</c:v>
                </c:pt>
                <c:pt idx="3">
                  <c:v>0.32685916078105526</c:v>
                </c:pt>
                <c:pt idx="4">
                  <c:v>1.7644813716567335E-2</c:v>
                </c:pt>
                <c:pt idx="5">
                  <c:v>0.1088020030816641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33-4924-9CCF-4B12F816D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Utilities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UTL!$C$5:$C$9</c:f>
              <c:numCache>
                <c:formatCode>_(* #,##0_);_(* \(#,##0\);_(* "-"??_);_(@_)</c:formatCode>
                <c:ptCount val="5"/>
                <c:pt idx="0">
                  <c:v>384</c:v>
                </c:pt>
                <c:pt idx="1">
                  <c:v>70</c:v>
                </c:pt>
                <c:pt idx="2">
                  <c:v>48</c:v>
                </c:pt>
                <c:pt idx="3">
                  <c:v>11</c:v>
                </c:pt>
                <c:pt idx="4">
                  <c:v>5</c:v>
                </c:pt>
              </c:numCache>
            </c:numRef>
          </c:xVal>
          <c:yVal>
            <c:numRef>
              <c:f>UTL!$E$5:$E$9</c:f>
              <c:numCache>
                <c:formatCode>0.000</c:formatCode>
                <c:ptCount val="5"/>
                <c:pt idx="0">
                  <c:v>283.59114583333331</c:v>
                </c:pt>
                <c:pt idx="1">
                  <c:v>269.94285714285712</c:v>
                </c:pt>
                <c:pt idx="2">
                  <c:v>132.79166666666666</c:v>
                </c:pt>
                <c:pt idx="3">
                  <c:v>303.27272727272725</c:v>
                </c:pt>
                <c:pt idx="4">
                  <c:v>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B5-4DB3-9226-6CC1944157E3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(UTL!$C$5,UTL!$C$7:$C$9)</c:f>
              <c:numCache>
                <c:formatCode>_(* #,##0_);_(* \(#,##0\);_(* "-"??_);_(@_)</c:formatCode>
                <c:ptCount val="4"/>
                <c:pt idx="0">
                  <c:v>384</c:v>
                </c:pt>
                <c:pt idx="1">
                  <c:v>48</c:v>
                </c:pt>
                <c:pt idx="2">
                  <c:v>11</c:v>
                </c:pt>
                <c:pt idx="3">
                  <c:v>5</c:v>
                </c:pt>
              </c:numCache>
            </c:numRef>
          </c:xVal>
          <c:yVal>
            <c:numRef>
              <c:f>(UTL!$G$5,UTL!$G$7:$G$9)</c:f>
              <c:numCache>
                <c:formatCode>0.000</c:formatCode>
                <c:ptCount val="4"/>
                <c:pt idx="0">
                  <c:v>283.59114583333331</c:v>
                </c:pt>
                <c:pt idx="1">
                  <c:v>132.79166666666666</c:v>
                </c:pt>
                <c:pt idx="2">
                  <c:v>303.27272727272725</c:v>
                </c:pt>
                <c:pt idx="3">
                  <c:v>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B5-4DB3-9226-6CC194415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Retaining Wall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RWAL!$C$5:$C$10</c:f>
              <c:numCache>
                <c:formatCode>_(* #,##0_);_(* \(#,##0\);_(* "-"??_);_(@_)</c:formatCode>
                <c:ptCount val="6"/>
                <c:pt idx="0">
                  <c:v>1169432</c:v>
                </c:pt>
                <c:pt idx="1">
                  <c:v>434037</c:v>
                </c:pt>
                <c:pt idx="2">
                  <c:v>377619</c:v>
                </c:pt>
                <c:pt idx="3">
                  <c:v>95796</c:v>
                </c:pt>
                <c:pt idx="4">
                  <c:v>42336</c:v>
                </c:pt>
                <c:pt idx="5">
                  <c:v>30039</c:v>
                </c:pt>
              </c:numCache>
            </c:numRef>
          </c:xVal>
          <c:yVal>
            <c:numRef>
              <c:f>RWAL!$E$5:$E$10</c:f>
              <c:numCache>
                <c:formatCode>0.000</c:formatCode>
                <c:ptCount val="6"/>
                <c:pt idx="0">
                  <c:v>4.1866478769180253E-2</c:v>
                </c:pt>
                <c:pt idx="1">
                  <c:v>0.12614362370028362</c:v>
                </c:pt>
                <c:pt idx="2">
                  <c:v>4.9234810748399839E-2</c:v>
                </c:pt>
                <c:pt idx="3">
                  <c:v>4.931312372124097E-2</c:v>
                </c:pt>
                <c:pt idx="4">
                  <c:v>9.2238284202569923E-2</c:v>
                </c:pt>
                <c:pt idx="5">
                  <c:v>2.3169879157095775E-2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4-41D1-A33F-FEA8BF35C02A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(RWAL!$C$5,RWAL!$C$8:$C$10)</c:f>
              <c:numCache>
                <c:formatCode>_(* #,##0_);_(* \(#,##0\);_(* "-"??_);_(@_)</c:formatCode>
                <c:ptCount val="4"/>
                <c:pt idx="0">
                  <c:v>1169432</c:v>
                </c:pt>
                <c:pt idx="1">
                  <c:v>95796</c:v>
                </c:pt>
                <c:pt idx="2">
                  <c:v>42336</c:v>
                </c:pt>
                <c:pt idx="3">
                  <c:v>30039</c:v>
                </c:pt>
              </c:numCache>
            </c:numRef>
          </c:xVal>
          <c:yVal>
            <c:numRef>
              <c:f>(RWAL!$G$5,RWAL!$G$8:$G$10)</c:f>
              <c:numCache>
                <c:formatCode>0.000</c:formatCode>
                <c:ptCount val="4"/>
                <c:pt idx="0">
                  <c:v>4.1866478769180253E-2</c:v>
                </c:pt>
                <c:pt idx="1">
                  <c:v>4.931312372124097E-2</c:v>
                </c:pt>
                <c:pt idx="2">
                  <c:v>9.2238284202569923E-2</c:v>
                </c:pt>
                <c:pt idx="3">
                  <c:v>2.3169879157095775E-2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E4-41D1-A33F-FEA8BF35C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Noise Wall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NWAL!$C$5:$C$10</c:f>
              <c:numCache>
                <c:formatCode>_(* #,##0_);_(* \(#,##0\);_(* "-"??_);_(@_)</c:formatCode>
                <c:ptCount val="6"/>
                <c:pt idx="0">
                  <c:v>190048</c:v>
                </c:pt>
                <c:pt idx="1">
                  <c:v>241020</c:v>
                </c:pt>
              </c:numCache>
            </c:numRef>
          </c:xVal>
          <c:yVal>
            <c:numRef>
              <c:f>NWAL!$E$5:$E$10</c:f>
              <c:numCache>
                <c:formatCode>0.000</c:formatCode>
                <c:ptCount val="6"/>
                <c:pt idx="0">
                  <c:v>5.7401288095638998E-2</c:v>
                </c:pt>
                <c:pt idx="1">
                  <c:v>2.2151688656543024E-2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8D-4236-B03F-73380CA61208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(NWAL!$C$5,NWAL!$C$8:$C$10)</c:f>
              <c:numCache>
                <c:formatCode>_(* #,##0_);_(* \(#,##0\);_(* "-"??_);_(@_)</c:formatCode>
                <c:ptCount val="4"/>
                <c:pt idx="0">
                  <c:v>190048</c:v>
                </c:pt>
              </c:numCache>
            </c:numRef>
          </c:xVal>
          <c:yVal>
            <c:numRef>
              <c:f>(NWAL!$G$5,NWAL!$G$8:$G$10)</c:f>
              <c:numCache>
                <c:formatCode>0.000</c:formatCode>
                <c:ptCount val="4"/>
                <c:pt idx="0">
                  <c:v>5.7401288095638998E-2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8D-4236-B03F-73380CA61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Bridge</a:t>
            </a:r>
            <a:r>
              <a:rPr lang="en-US" baseline="0"/>
              <a:t> Structure Design</a:t>
            </a:r>
            <a:r>
              <a:rPr lang="en-US"/>
              <a:t>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STR!$A$1</c:f>
              <c:strCache>
                <c:ptCount val="1"/>
                <c:pt idx="0">
                  <c:v>Bridge Structures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0933162596532823E-4"/>
                  <c:y val="-2.80740876382700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STR!$D$5:$D$82</c:f>
              <c:numCache>
                <c:formatCode>#,##0</c:formatCode>
                <c:ptCount val="78"/>
                <c:pt idx="0">
                  <c:v>240178</c:v>
                </c:pt>
                <c:pt idx="1">
                  <c:v>199692</c:v>
                </c:pt>
                <c:pt idx="2">
                  <c:v>143290</c:v>
                </c:pt>
                <c:pt idx="3">
                  <c:v>136169</c:v>
                </c:pt>
                <c:pt idx="4">
                  <c:v>116988</c:v>
                </c:pt>
                <c:pt idx="5">
                  <c:v>89646</c:v>
                </c:pt>
                <c:pt idx="6">
                  <c:v>66662</c:v>
                </c:pt>
                <c:pt idx="7">
                  <c:v>55663</c:v>
                </c:pt>
                <c:pt idx="8">
                  <c:v>47438</c:v>
                </c:pt>
                <c:pt idx="9">
                  <c:v>47402</c:v>
                </c:pt>
                <c:pt idx="10">
                  <c:v>45178</c:v>
                </c:pt>
                <c:pt idx="11">
                  <c:v>42282</c:v>
                </c:pt>
                <c:pt idx="12">
                  <c:v>42238</c:v>
                </c:pt>
                <c:pt idx="13">
                  <c:v>40935</c:v>
                </c:pt>
                <c:pt idx="14">
                  <c:v>35250</c:v>
                </c:pt>
                <c:pt idx="15">
                  <c:v>33534</c:v>
                </c:pt>
                <c:pt idx="16">
                  <c:v>31026</c:v>
                </c:pt>
                <c:pt idx="17">
                  <c:v>27367</c:v>
                </c:pt>
                <c:pt idx="18">
                  <c:v>23837</c:v>
                </c:pt>
                <c:pt idx="19">
                  <c:v>23315</c:v>
                </c:pt>
                <c:pt idx="20">
                  <c:v>19930</c:v>
                </c:pt>
                <c:pt idx="21">
                  <c:v>18980</c:v>
                </c:pt>
                <c:pt idx="22">
                  <c:v>17957</c:v>
                </c:pt>
                <c:pt idx="23">
                  <c:v>17497</c:v>
                </c:pt>
                <c:pt idx="24">
                  <c:v>16601</c:v>
                </c:pt>
                <c:pt idx="25">
                  <c:v>13581</c:v>
                </c:pt>
                <c:pt idx="26">
                  <c:v>12711</c:v>
                </c:pt>
                <c:pt idx="27">
                  <c:v>10666</c:v>
                </c:pt>
                <c:pt idx="28">
                  <c:v>10527</c:v>
                </c:pt>
                <c:pt idx="29">
                  <c:v>9159</c:v>
                </c:pt>
                <c:pt idx="30">
                  <c:v>8652</c:v>
                </c:pt>
                <c:pt idx="31">
                  <c:v>7946</c:v>
                </c:pt>
                <c:pt idx="32">
                  <c:v>7685</c:v>
                </c:pt>
                <c:pt idx="33">
                  <c:v>6383</c:v>
                </c:pt>
                <c:pt idx="34">
                  <c:v>6340</c:v>
                </c:pt>
                <c:pt idx="35">
                  <c:v>5413</c:v>
                </c:pt>
                <c:pt idx="36">
                  <c:v>5358</c:v>
                </c:pt>
                <c:pt idx="37">
                  <c:v>4360</c:v>
                </c:pt>
                <c:pt idx="38">
                  <c:v>3646</c:v>
                </c:pt>
                <c:pt idx="39">
                  <c:v>193570</c:v>
                </c:pt>
                <c:pt idx="40">
                  <c:v>116016.5</c:v>
                </c:pt>
                <c:pt idx="41">
                  <c:v>96134</c:v>
                </c:pt>
                <c:pt idx="42">
                  <c:v>82359</c:v>
                </c:pt>
                <c:pt idx="43">
                  <c:v>46957</c:v>
                </c:pt>
                <c:pt idx="44">
                  <c:v>34452</c:v>
                </c:pt>
                <c:pt idx="45">
                  <c:v>39134</c:v>
                </c:pt>
                <c:pt idx="46">
                  <c:v>16052</c:v>
                </c:pt>
                <c:pt idx="47">
                  <c:v>16045</c:v>
                </c:pt>
                <c:pt idx="48">
                  <c:v>10674.33</c:v>
                </c:pt>
                <c:pt idx="49">
                  <c:v>8103.33</c:v>
                </c:pt>
                <c:pt idx="50">
                  <c:v>7283.33</c:v>
                </c:pt>
                <c:pt idx="51">
                  <c:v>5781.48</c:v>
                </c:pt>
                <c:pt idx="52">
                  <c:v>26805</c:v>
                </c:pt>
                <c:pt idx="53">
                  <c:v>1900.5</c:v>
                </c:pt>
                <c:pt idx="54">
                  <c:v>1674</c:v>
                </c:pt>
                <c:pt idx="55">
                  <c:v>1550</c:v>
                </c:pt>
                <c:pt idx="56">
                  <c:v>941.22</c:v>
                </c:pt>
                <c:pt idx="57">
                  <c:v>698.15</c:v>
                </c:pt>
                <c:pt idx="58">
                  <c:v>530.47</c:v>
                </c:pt>
                <c:pt idx="59">
                  <c:v>24972</c:v>
                </c:pt>
                <c:pt idx="60">
                  <c:v>18226</c:v>
                </c:pt>
                <c:pt idx="61">
                  <c:v>15442</c:v>
                </c:pt>
                <c:pt idx="62">
                  <c:v>13562</c:v>
                </c:pt>
                <c:pt idx="63">
                  <c:v>13790</c:v>
                </c:pt>
                <c:pt idx="64">
                  <c:v>8838.41</c:v>
                </c:pt>
                <c:pt idx="65">
                  <c:v>7779.43</c:v>
                </c:pt>
                <c:pt idx="66">
                  <c:v>13752</c:v>
                </c:pt>
                <c:pt idx="67">
                  <c:v>9594</c:v>
                </c:pt>
                <c:pt idx="68">
                  <c:v>7248</c:v>
                </c:pt>
                <c:pt idx="69">
                  <c:v>6553</c:v>
                </c:pt>
                <c:pt idx="70">
                  <c:v>6528</c:v>
                </c:pt>
                <c:pt idx="71">
                  <c:v>4599</c:v>
                </c:pt>
                <c:pt idx="72">
                  <c:v>4462</c:v>
                </c:pt>
                <c:pt idx="73">
                  <c:v>4843</c:v>
                </c:pt>
                <c:pt idx="74">
                  <c:v>125680</c:v>
                </c:pt>
                <c:pt idx="75">
                  <c:v>2640</c:v>
                </c:pt>
                <c:pt idx="76">
                  <c:v>1440</c:v>
                </c:pt>
                <c:pt idx="77">
                  <c:v>4766.54</c:v>
                </c:pt>
              </c:numCache>
            </c:numRef>
          </c:xVal>
          <c:yVal>
            <c:numRef>
              <c:f>STR!$C$5:$C$82</c:f>
              <c:numCache>
                <c:formatCode>#,##0</c:formatCode>
                <c:ptCount val="78"/>
                <c:pt idx="0">
                  <c:v>3389</c:v>
                </c:pt>
                <c:pt idx="1">
                  <c:v>7087</c:v>
                </c:pt>
                <c:pt idx="2">
                  <c:v>4409</c:v>
                </c:pt>
                <c:pt idx="3">
                  <c:v>5202</c:v>
                </c:pt>
                <c:pt idx="4">
                  <c:v>3727</c:v>
                </c:pt>
                <c:pt idx="5">
                  <c:v>3811</c:v>
                </c:pt>
                <c:pt idx="6">
                  <c:v>2421</c:v>
                </c:pt>
                <c:pt idx="7">
                  <c:v>2369</c:v>
                </c:pt>
                <c:pt idx="8">
                  <c:v>2781</c:v>
                </c:pt>
                <c:pt idx="9">
                  <c:v>2329</c:v>
                </c:pt>
                <c:pt idx="10">
                  <c:v>2365</c:v>
                </c:pt>
                <c:pt idx="11">
                  <c:v>2426</c:v>
                </c:pt>
                <c:pt idx="12">
                  <c:v>1608</c:v>
                </c:pt>
                <c:pt idx="13">
                  <c:v>2133</c:v>
                </c:pt>
                <c:pt idx="14">
                  <c:v>1640</c:v>
                </c:pt>
                <c:pt idx="15">
                  <c:v>4692</c:v>
                </c:pt>
                <c:pt idx="16">
                  <c:v>4210.25</c:v>
                </c:pt>
                <c:pt idx="17">
                  <c:v>320.75</c:v>
                </c:pt>
                <c:pt idx="18">
                  <c:v>1308</c:v>
                </c:pt>
                <c:pt idx="19">
                  <c:v>2575</c:v>
                </c:pt>
                <c:pt idx="20">
                  <c:v>2963</c:v>
                </c:pt>
                <c:pt idx="21">
                  <c:v>2921</c:v>
                </c:pt>
                <c:pt idx="22">
                  <c:v>1874</c:v>
                </c:pt>
                <c:pt idx="23">
                  <c:v>3146</c:v>
                </c:pt>
                <c:pt idx="24">
                  <c:v>2696</c:v>
                </c:pt>
                <c:pt idx="25">
                  <c:v>1864</c:v>
                </c:pt>
                <c:pt idx="26">
                  <c:v>1843</c:v>
                </c:pt>
                <c:pt idx="27">
                  <c:v>2266</c:v>
                </c:pt>
                <c:pt idx="28">
                  <c:v>1379</c:v>
                </c:pt>
                <c:pt idx="29">
                  <c:v>1424</c:v>
                </c:pt>
                <c:pt idx="30">
                  <c:v>1406</c:v>
                </c:pt>
                <c:pt idx="31">
                  <c:v>1862</c:v>
                </c:pt>
                <c:pt idx="32">
                  <c:v>1179</c:v>
                </c:pt>
                <c:pt idx="33">
                  <c:v>1265</c:v>
                </c:pt>
                <c:pt idx="34">
                  <c:v>1174</c:v>
                </c:pt>
                <c:pt idx="35">
                  <c:v>1493</c:v>
                </c:pt>
                <c:pt idx="36">
                  <c:v>1956</c:v>
                </c:pt>
                <c:pt idx="37">
                  <c:v>967</c:v>
                </c:pt>
                <c:pt idx="38">
                  <c:v>1586</c:v>
                </c:pt>
                <c:pt idx="39">
                  <c:v>47300</c:v>
                </c:pt>
                <c:pt idx="40">
                  <c:v>22690.800009999999</c:v>
                </c:pt>
                <c:pt idx="41">
                  <c:v>19540.900000000001</c:v>
                </c:pt>
                <c:pt idx="42">
                  <c:v>31022.598999999998</c:v>
                </c:pt>
                <c:pt idx="43">
                  <c:v>5819</c:v>
                </c:pt>
                <c:pt idx="44">
                  <c:v>6590</c:v>
                </c:pt>
                <c:pt idx="45">
                  <c:v>43403.25</c:v>
                </c:pt>
                <c:pt idx="46">
                  <c:v>2426.25</c:v>
                </c:pt>
                <c:pt idx="47">
                  <c:v>4320.75</c:v>
                </c:pt>
                <c:pt idx="48">
                  <c:v>4736</c:v>
                </c:pt>
                <c:pt idx="49">
                  <c:v>3910</c:v>
                </c:pt>
                <c:pt idx="50">
                  <c:v>2206</c:v>
                </c:pt>
                <c:pt idx="51">
                  <c:v>5877</c:v>
                </c:pt>
                <c:pt idx="52">
                  <c:v>3641</c:v>
                </c:pt>
                <c:pt idx="53">
                  <c:v>2093</c:v>
                </c:pt>
                <c:pt idx="54">
                  <c:v>1978</c:v>
                </c:pt>
                <c:pt idx="55">
                  <c:v>1889</c:v>
                </c:pt>
                <c:pt idx="56">
                  <c:v>1931</c:v>
                </c:pt>
                <c:pt idx="57">
                  <c:v>1552</c:v>
                </c:pt>
                <c:pt idx="58">
                  <c:v>1171</c:v>
                </c:pt>
                <c:pt idx="59">
                  <c:v>3372</c:v>
                </c:pt>
                <c:pt idx="60">
                  <c:v>9398</c:v>
                </c:pt>
                <c:pt idx="61">
                  <c:v>3718</c:v>
                </c:pt>
                <c:pt idx="62">
                  <c:v>5094</c:v>
                </c:pt>
                <c:pt idx="63">
                  <c:v>2150</c:v>
                </c:pt>
                <c:pt idx="64">
                  <c:v>1923</c:v>
                </c:pt>
                <c:pt idx="65">
                  <c:v>834</c:v>
                </c:pt>
                <c:pt idx="66">
                  <c:v>2637</c:v>
                </c:pt>
                <c:pt idx="67">
                  <c:v>4265</c:v>
                </c:pt>
                <c:pt idx="68">
                  <c:v>7106</c:v>
                </c:pt>
                <c:pt idx="69">
                  <c:v>58</c:v>
                </c:pt>
                <c:pt idx="70">
                  <c:v>165.2</c:v>
                </c:pt>
                <c:pt idx="71">
                  <c:v>2264</c:v>
                </c:pt>
                <c:pt idx="72">
                  <c:v>1858</c:v>
                </c:pt>
                <c:pt idx="73">
                  <c:v>1421</c:v>
                </c:pt>
                <c:pt idx="74">
                  <c:v>3692</c:v>
                </c:pt>
                <c:pt idx="75">
                  <c:v>2787</c:v>
                </c:pt>
                <c:pt idx="76">
                  <c:v>2948</c:v>
                </c:pt>
                <c:pt idx="77">
                  <c:v>6151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D7-4CC6-9FA6-629C05C1F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Cost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Misc Structure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MSRT!$C$5:$C$11</c:f>
              <c:numCache>
                <c:formatCode>_(* #,##0_);_(* \(#,##0\);_(* "-"??_);_(@_)</c:formatCode>
                <c:ptCount val="7"/>
                <c:pt idx="0">
                  <c:v>378295</c:v>
                </c:pt>
                <c:pt idx="1">
                  <c:v>6765</c:v>
                </c:pt>
                <c:pt idx="2">
                  <c:v>294035</c:v>
                </c:pt>
                <c:pt idx="3">
                  <c:v>166681</c:v>
                </c:pt>
                <c:pt idx="4">
                  <c:v>71064</c:v>
                </c:pt>
                <c:pt idx="5">
                  <c:v>113381</c:v>
                </c:pt>
                <c:pt idx="6">
                  <c:v>44396</c:v>
                </c:pt>
              </c:numCache>
            </c:numRef>
          </c:xVal>
          <c:yVal>
            <c:numRef>
              <c:f>MSRT!$E$5:$E$11</c:f>
              <c:numCache>
                <c:formatCode>0.000</c:formatCode>
                <c:ptCount val="7"/>
                <c:pt idx="0">
                  <c:v>5.0516131590425464E-2</c:v>
                </c:pt>
                <c:pt idx="1">
                  <c:v>0.10909090909090909</c:v>
                </c:pt>
                <c:pt idx="2">
                  <c:v>3.3822504123658746E-2</c:v>
                </c:pt>
                <c:pt idx="3">
                  <c:v>7.7555330241599219E-2</c:v>
                </c:pt>
                <c:pt idx="4">
                  <c:v>5.8327704604300347E-2</c:v>
                </c:pt>
                <c:pt idx="5">
                  <c:v>4.4134378775985396E-2</c:v>
                </c:pt>
                <c:pt idx="6">
                  <c:v>4.3810253175961801E-2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00-4E0E-9D94-E87B3E4DE8D4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(MSRT!$C$5,MSRT!$C$8:$C$11)</c:f>
              <c:numCache>
                <c:formatCode>_(* #,##0_);_(* \(#,##0\);_(* "-"??_);_(@_)</c:formatCode>
                <c:ptCount val="5"/>
                <c:pt idx="0">
                  <c:v>378295</c:v>
                </c:pt>
                <c:pt idx="1">
                  <c:v>166681</c:v>
                </c:pt>
                <c:pt idx="2">
                  <c:v>71064</c:v>
                </c:pt>
                <c:pt idx="3">
                  <c:v>113381</c:v>
                </c:pt>
                <c:pt idx="4">
                  <c:v>44396</c:v>
                </c:pt>
              </c:numCache>
            </c:numRef>
          </c:xVal>
          <c:yVal>
            <c:numRef>
              <c:f>(MSRT!$G$5,MSRT!$G$8:$G$11)</c:f>
              <c:numCache>
                <c:formatCode>0.000</c:formatCode>
                <c:ptCount val="5"/>
                <c:pt idx="0">
                  <c:v>5.0516131590425464E-2</c:v>
                </c:pt>
                <c:pt idx="2">
                  <c:v>5.8327704604300347E-2</c:v>
                </c:pt>
                <c:pt idx="3">
                  <c:v>4.4134378775985396E-2</c:v>
                </c:pt>
                <c:pt idx="4">
                  <c:v>4.3810253175961801E-2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00-4E0E-9D94-E87B3E4DE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Geotechnical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GEO!$C$5:$C$15</c:f>
              <c:numCache>
                <c:formatCode>_(* #,##0_);_(* \(#,##0\);_(* "-"??_);_(@_)</c:formatCode>
                <c:ptCount val="11"/>
                <c:pt idx="0">
                  <c:v>274</c:v>
                </c:pt>
                <c:pt idx="1">
                  <c:v>2</c:v>
                </c:pt>
                <c:pt idx="2">
                  <c:v>8</c:v>
                </c:pt>
                <c:pt idx="3">
                  <c:v>127</c:v>
                </c:pt>
                <c:pt idx="4">
                  <c:v>19</c:v>
                </c:pt>
                <c:pt idx="5">
                  <c:v>99</c:v>
                </c:pt>
                <c:pt idx="6">
                  <c:v>33</c:v>
                </c:pt>
                <c:pt idx="7">
                  <c:v>110</c:v>
                </c:pt>
                <c:pt idx="8">
                  <c:v>1</c:v>
                </c:pt>
                <c:pt idx="9">
                  <c:v>19</c:v>
                </c:pt>
                <c:pt idx="10">
                  <c:v>6</c:v>
                </c:pt>
              </c:numCache>
            </c:numRef>
          </c:xVal>
          <c:yVal>
            <c:numRef>
              <c:f>GEO!$E$5:$E$15</c:f>
              <c:numCache>
                <c:formatCode>0.000</c:formatCode>
                <c:ptCount val="11"/>
                <c:pt idx="0">
                  <c:v>173.82846715328466</c:v>
                </c:pt>
                <c:pt idx="1">
                  <c:v>627.5</c:v>
                </c:pt>
                <c:pt idx="2">
                  <c:v>591.875</c:v>
                </c:pt>
                <c:pt idx="3">
                  <c:v>262.62204724409446</c:v>
                </c:pt>
                <c:pt idx="4">
                  <c:v>357.73684210526318</c:v>
                </c:pt>
                <c:pt idx="5">
                  <c:v>998.17171717171721</c:v>
                </c:pt>
                <c:pt idx="6">
                  <c:v>288.12121212121212</c:v>
                </c:pt>
                <c:pt idx="7">
                  <c:v>214.29090909090908</c:v>
                </c:pt>
                <c:pt idx="8">
                  <c:v>951</c:v>
                </c:pt>
                <c:pt idx="9">
                  <c:v>152.63157894736841</c:v>
                </c:pt>
                <c:pt idx="10">
                  <c:v>1246.3333333333333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A1-4031-B8B8-7E01DD5F76D7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(GEO!$C$5,GEO!$C$9:$C$12,GEO!$C$14:$C$15)</c:f>
              <c:numCache>
                <c:formatCode>_(* #,##0_);_(* \(#,##0\);_(* "-"??_);_(@_)</c:formatCode>
                <c:ptCount val="7"/>
                <c:pt idx="0">
                  <c:v>274</c:v>
                </c:pt>
                <c:pt idx="1">
                  <c:v>19</c:v>
                </c:pt>
                <c:pt idx="2">
                  <c:v>99</c:v>
                </c:pt>
                <c:pt idx="3">
                  <c:v>33</c:v>
                </c:pt>
                <c:pt idx="4">
                  <c:v>110</c:v>
                </c:pt>
                <c:pt idx="5">
                  <c:v>19</c:v>
                </c:pt>
                <c:pt idx="6">
                  <c:v>6</c:v>
                </c:pt>
              </c:numCache>
            </c:numRef>
          </c:xVal>
          <c:yVal>
            <c:numRef>
              <c:f>(GEO!$G$5,GEO!$G$9:$G$12,GEO!$G$14:$G$15)</c:f>
              <c:numCache>
                <c:formatCode>0.000</c:formatCode>
                <c:ptCount val="7"/>
                <c:pt idx="0">
                  <c:v>173.82846715328466</c:v>
                </c:pt>
                <c:pt idx="3">
                  <c:v>288.12121212121212</c:v>
                </c:pt>
                <c:pt idx="4">
                  <c:v>214.29090909090908</c:v>
                </c:pt>
                <c:pt idx="5">
                  <c:v>152.63157894736841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A1-4031-B8B8-7E01DD5F7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 Manhours/ea.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Systems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SYS!$C$5:$C$8</c:f>
              <c:numCache>
                <c:formatCode>_(* #,##0_);_(* \(#,##0\);_(* "-"??_);_(@_)</c:formatCode>
                <c:ptCount val="4"/>
                <c:pt idx="0">
                  <c:v>81688</c:v>
                </c:pt>
                <c:pt idx="1">
                  <c:v>154899</c:v>
                </c:pt>
                <c:pt idx="2">
                  <c:v>103233</c:v>
                </c:pt>
                <c:pt idx="3">
                  <c:v>167537</c:v>
                </c:pt>
              </c:numCache>
            </c:numRef>
          </c:xVal>
          <c:yVal>
            <c:numRef>
              <c:f>SYS!$E$5:$E$8</c:f>
              <c:numCache>
                <c:formatCode>0.000</c:formatCode>
                <c:ptCount val="4"/>
                <c:pt idx="0">
                  <c:v>1.8830795220840271</c:v>
                </c:pt>
                <c:pt idx="1">
                  <c:v>0.25331990522856829</c:v>
                </c:pt>
                <c:pt idx="2">
                  <c:v>0.85936667538480915</c:v>
                </c:pt>
                <c:pt idx="3">
                  <c:v>0.8074037376818255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4-4D6B-B355-2EB5705EDABB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SYS!$C$5:$C$7</c:f>
              <c:numCache>
                <c:formatCode>_(* #,##0_);_(* \(#,##0\);_(* "-"??_);_(@_)</c:formatCode>
                <c:ptCount val="3"/>
                <c:pt idx="0">
                  <c:v>81688</c:v>
                </c:pt>
                <c:pt idx="1">
                  <c:v>154899</c:v>
                </c:pt>
                <c:pt idx="2">
                  <c:v>103233</c:v>
                </c:pt>
              </c:numCache>
            </c:numRef>
          </c:xVal>
          <c:yVal>
            <c:numRef>
              <c:f>SYS!$G$5:$G$7</c:f>
              <c:numCache>
                <c:formatCode>0.000</c:formatCode>
                <c:ptCount val="3"/>
                <c:pt idx="0">
                  <c:v>1.8830795220840271</c:v>
                </c:pt>
                <c:pt idx="1">
                  <c:v>0.25331990522856829</c:v>
                </c:pt>
                <c:pt idx="2">
                  <c:v>0.85936667538480915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94-4D6B-B355-2EB5705ED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Track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9.3340451087681828E-3"/>
                  <c:y val="-1.4380899752627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TRK!$C$5:$C$8</c:f>
              <c:numCache>
                <c:formatCode>_(* #,##0_);_(* \(#,##0\);_(* "-"??_);_(@_)</c:formatCode>
                <c:ptCount val="4"/>
                <c:pt idx="0">
                  <c:v>81688</c:v>
                </c:pt>
                <c:pt idx="1">
                  <c:v>154899</c:v>
                </c:pt>
                <c:pt idx="2">
                  <c:v>103233</c:v>
                </c:pt>
                <c:pt idx="3">
                  <c:v>167537</c:v>
                </c:pt>
              </c:numCache>
            </c:numRef>
          </c:xVal>
          <c:yVal>
            <c:numRef>
              <c:f>TRK!$E$5:$E$8</c:f>
              <c:numCache>
                <c:formatCode>0.000</c:formatCode>
                <c:ptCount val="4"/>
                <c:pt idx="0">
                  <c:v>0.6774556850455391</c:v>
                </c:pt>
                <c:pt idx="1">
                  <c:v>5.6533612224739994E-2</c:v>
                </c:pt>
                <c:pt idx="2">
                  <c:v>6.6238509003903795E-2</c:v>
                </c:pt>
                <c:pt idx="3">
                  <c:v>0.49108555125136538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0A-4BC8-BE6F-04F1F28CCA92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TRK!$C$5:$C$7</c:f>
              <c:numCache>
                <c:formatCode>_(* #,##0_);_(* \(#,##0\);_(* "-"??_);_(@_)</c:formatCode>
                <c:ptCount val="3"/>
                <c:pt idx="0">
                  <c:v>81688</c:v>
                </c:pt>
                <c:pt idx="1">
                  <c:v>154899</c:v>
                </c:pt>
                <c:pt idx="2">
                  <c:v>103233</c:v>
                </c:pt>
              </c:numCache>
            </c:numRef>
          </c:xVal>
          <c:yVal>
            <c:numRef>
              <c:f>TRK!$G$5:$G$7</c:f>
              <c:numCache>
                <c:formatCode>0.000</c:formatCode>
                <c:ptCount val="3"/>
                <c:pt idx="0">
                  <c:v>0.6774556850455391</c:v>
                </c:pt>
                <c:pt idx="1">
                  <c:v>5.6533612224739994E-2</c:v>
                </c:pt>
                <c:pt idx="2">
                  <c:v>6.6238509003903795E-2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0A-4BC8-BE6F-04F1F28CC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ESDC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9409989005611581E-3"/>
                  <c:y val="-4.42941443656051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ESDC!$C$5:$C$48</c:f>
              <c:numCache>
                <c:formatCode>_("$"* #,##0.00_);_("$"* \(#,##0.00\);_("$"* "-"??_);_(@_)</c:formatCode>
                <c:ptCount val="44"/>
                <c:pt idx="0">
                  <c:v>1938485.07</c:v>
                </c:pt>
                <c:pt idx="1">
                  <c:v>1376998.17</c:v>
                </c:pt>
                <c:pt idx="2">
                  <c:v>470813.24</c:v>
                </c:pt>
                <c:pt idx="3">
                  <c:v>836559.23</c:v>
                </c:pt>
                <c:pt idx="4">
                  <c:v>3691276.9</c:v>
                </c:pt>
                <c:pt idx="5">
                  <c:v>1386636.6</c:v>
                </c:pt>
                <c:pt idx="6">
                  <c:v>1144655.05</c:v>
                </c:pt>
                <c:pt idx="7">
                  <c:v>405622.25</c:v>
                </c:pt>
                <c:pt idx="8">
                  <c:v>41533.160000000003</c:v>
                </c:pt>
                <c:pt idx="9">
                  <c:v>1261222.8500000001</c:v>
                </c:pt>
                <c:pt idx="10">
                  <c:v>155588.42000000001</c:v>
                </c:pt>
                <c:pt idx="11">
                  <c:v>798052.8</c:v>
                </c:pt>
                <c:pt idx="12">
                  <c:v>697958.72</c:v>
                </c:pt>
                <c:pt idx="13">
                  <c:v>2388792.63</c:v>
                </c:pt>
                <c:pt idx="14">
                  <c:v>642601.96</c:v>
                </c:pt>
                <c:pt idx="15">
                  <c:v>611670.06000000006</c:v>
                </c:pt>
                <c:pt idx="16">
                  <c:v>229878.6</c:v>
                </c:pt>
                <c:pt idx="17">
                  <c:v>236570.04</c:v>
                </c:pt>
                <c:pt idx="18">
                  <c:v>159839.66</c:v>
                </c:pt>
                <c:pt idx="19">
                  <c:v>320071.89</c:v>
                </c:pt>
                <c:pt idx="20">
                  <c:v>187397.98</c:v>
                </c:pt>
                <c:pt idx="21">
                  <c:v>885258.97</c:v>
                </c:pt>
                <c:pt idx="22">
                  <c:v>454376.58</c:v>
                </c:pt>
                <c:pt idx="23">
                  <c:v>177230.46</c:v>
                </c:pt>
                <c:pt idx="24">
                  <c:v>424701.71</c:v>
                </c:pt>
                <c:pt idx="25">
                  <c:v>684456.77</c:v>
                </c:pt>
                <c:pt idx="26">
                  <c:v>615922</c:v>
                </c:pt>
                <c:pt idx="27">
                  <c:v>152435.75</c:v>
                </c:pt>
                <c:pt idx="28">
                  <c:v>328887.12</c:v>
                </c:pt>
                <c:pt idx="29">
                  <c:v>428252.13</c:v>
                </c:pt>
                <c:pt idx="30">
                  <c:v>1703515.46</c:v>
                </c:pt>
                <c:pt idx="31">
                  <c:v>253154.83</c:v>
                </c:pt>
                <c:pt idx="32">
                  <c:v>1325890.67</c:v>
                </c:pt>
                <c:pt idx="33">
                  <c:v>420771.29</c:v>
                </c:pt>
                <c:pt idx="34">
                  <c:v>428566.69</c:v>
                </c:pt>
                <c:pt idx="35">
                  <c:v>590638.34</c:v>
                </c:pt>
                <c:pt idx="36">
                  <c:v>191891.46</c:v>
                </c:pt>
                <c:pt idx="37">
                  <c:v>274719.65999999997</c:v>
                </c:pt>
                <c:pt idx="38">
                  <c:v>184682.6</c:v>
                </c:pt>
                <c:pt idx="39">
                  <c:v>165972.07999999999</c:v>
                </c:pt>
                <c:pt idx="40">
                  <c:v>162049.41</c:v>
                </c:pt>
                <c:pt idx="41">
                  <c:v>42990.54</c:v>
                </c:pt>
                <c:pt idx="42">
                  <c:v>146656.01999999999</c:v>
                </c:pt>
                <c:pt idx="43">
                  <c:v>1717328.8</c:v>
                </c:pt>
              </c:numCache>
            </c:numRef>
          </c:xVal>
          <c:yVal>
            <c:numRef>
              <c:f>ESDC!$E$5:$E$48</c:f>
              <c:numCache>
                <c:formatCode>0.00%</c:formatCode>
                <c:ptCount val="44"/>
                <c:pt idx="0">
                  <c:v>1.1892570315230748E-2</c:v>
                </c:pt>
                <c:pt idx="1">
                  <c:v>1.5387289875628521E-2</c:v>
                </c:pt>
                <c:pt idx="2">
                  <c:v>1.3236671084271122E-2</c:v>
                </c:pt>
                <c:pt idx="3">
                  <c:v>1.0631823403586139E-2</c:v>
                </c:pt>
                <c:pt idx="4">
                  <c:v>1.4171917040414931E-2</c:v>
                </c:pt>
                <c:pt idx="5">
                  <c:v>1.1535466466123856E-2</c:v>
                </c:pt>
                <c:pt idx="6">
                  <c:v>8.4765274918413205E-3</c:v>
                </c:pt>
                <c:pt idx="7">
                  <c:v>8.427323698342485E-3</c:v>
                </c:pt>
                <c:pt idx="8">
                  <c:v>8.3692163081258448E-3</c:v>
                </c:pt>
                <c:pt idx="9">
                  <c:v>8.2881070541974394E-3</c:v>
                </c:pt>
                <c:pt idx="10">
                  <c:v>8.2012530238432906E-3</c:v>
                </c:pt>
                <c:pt idx="11">
                  <c:v>8.0684887014994492E-3</c:v>
                </c:pt>
                <c:pt idx="12">
                  <c:v>6.6960263781789282E-3</c:v>
                </c:pt>
                <c:pt idx="13">
                  <c:v>8.8147249516589473E-3</c:v>
                </c:pt>
                <c:pt idx="14">
                  <c:v>9.0089516689304851E-3</c:v>
                </c:pt>
                <c:pt idx="15">
                  <c:v>9.0563857253369573E-3</c:v>
                </c:pt>
                <c:pt idx="16">
                  <c:v>9.5669627359832518E-3</c:v>
                </c:pt>
                <c:pt idx="17">
                  <c:v>9.6815725271044463E-3</c:v>
                </c:pt>
                <c:pt idx="18">
                  <c:v>9.7490197364033422E-3</c:v>
                </c:pt>
                <c:pt idx="19">
                  <c:v>1.0030777773080916E-2</c:v>
                </c:pt>
                <c:pt idx="20">
                  <c:v>1.0170547195866252E-2</c:v>
                </c:pt>
                <c:pt idx="21">
                  <c:v>1.0645664511030033E-2</c:v>
                </c:pt>
                <c:pt idx="22">
                  <c:v>1.1024533878924834E-2</c:v>
                </c:pt>
                <c:pt idx="23">
                  <c:v>1.1862069307950791E-2</c:v>
                </c:pt>
                <c:pt idx="24">
                  <c:v>1.2392792108136319E-2</c:v>
                </c:pt>
                <c:pt idx="25">
                  <c:v>1.2805702834965019E-2</c:v>
                </c:pt>
                <c:pt idx="26">
                  <c:v>1.3485230272664397E-2</c:v>
                </c:pt>
                <c:pt idx="27">
                  <c:v>1.3510347802270794E-2</c:v>
                </c:pt>
                <c:pt idx="28">
                  <c:v>1.4138984828594079E-2</c:v>
                </c:pt>
                <c:pt idx="29">
                  <c:v>1.4177769530299825E-2</c:v>
                </c:pt>
                <c:pt idx="30">
                  <c:v>1.4530176321381904E-2</c:v>
                </c:pt>
                <c:pt idx="31">
                  <c:v>1.6412841105974553E-2</c:v>
                </c:pt>
                <c:pt idx="32">
                  <c:v>1.7559245665406183E-2</c:v>
                </c:pt>
                <c:pt idx="33">
                  <c:v>1.7603791361335514E-2</c:v>
                </c:pt>
                <c:pt idx="34">
                  <c:v>1.8256925194069563E-2</c:v>
                </c:pt>
                <c:pt idx="35">
                  <c:v>5.7216231509793283E-3</c:v>
                </c:pt>
                <c:pt idx="36">
                  <c:v>5.1694327616247232E-3</c:v>
                </c:pt>
                <c:pt idx="37">
                  <c:v>4.6443709197951108E-3</c:v>
                </c:pt>
                <c:pt idx="38">
                  <c:v>3.2827672991391716E-3</c:v>
                </c:pt>
                <c:pt idx="39">
                  <c:v>6.3952925094389376E-3</c:v>
                </c:pt>
                <c:pt idx="40">
                  <c:v>4.594092628908677E-3</c:v>
                </c:pt>
                <c:pt idx="41">
                  <c:v>5.7559174646329165E-3</c:v>
                </c:pt>
                <c:pt idx="42">
                  <c:v>3.5516441807162094E-3</c:v>
                </c:pt>
                <c:pt idx="43">
                  <c:v>1.0005998851239203E-2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BF-4C5F-9DB6-D5ECD22EE266}"/>
            </c:ext>
          </c:extLst>
        </c:ser>
        <c:ser>
          <c:idx val="1"/>
          <c:order val="1"/>
          <c:tx>
            <c:v>Custom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141656021810833"/>
                  <c:y val="-3.8147667822389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(ESDC!$C$5,ESDC!$C$10:$C$11,ESDC!$C$13:$C$16,ESDC!$C$20:$C$22,ESDC!$C$24:$C$29,ESDC!$C$31:$C$33,ESDC!$C$35:$C$37,ESDC!$C$40,ESDC!$C$46:$C$47)</c:f>
              <c:numCache>
                <c:formatCode>_("$"* #,##0.00_);_("$"* \(#,##0.00\);_("$"* "-"??_);_(@_)</c:formatCode>
                <c:ptCount val="25"/>
                <c:pt idx="0">
                  <c:v>1938485.07</c:v>
                </c:pt>
                <c:pt idx="1">
                  <c:v>1386636.6</c:v>
                </c:pt>
                <c:pt idx="2">
                  <c:v>1144655.05</c:v>
                </c:pt>
                <c:pt idx="3">
                  <c:v>41533.160000000003</c:v>
                </c:pt>
                <c:pt idx="4">
                  <c:v>1261222.8500000001</c:v>
                </c:pt>
                <c:pt idx="5">
                  <c:v>155588.42000000001</c:v>
                </c:pt>
                <c:pt idx="6">
                  <c:v>798052.8</c:v>
                </c:pt>
                <c:pt idx="7">
                  <c:v>611670.06000000006</c:v>
                </c:pt>
                <c:pt idx="8">
                  <c:v>229878.6</c:v>
                </c:pt>
                <c:pt idx="9">
                  <c:v>236570.04</c:v>
                </c:pt>
                <c:pt idx="10">
                  <c:v>320071.89</c:v>
                </c:pt>
                <c:pt idx="11">
                  <c:v>187397.98</c:v>
                </c:pt>
                <c:pt idx="12">
                  <c:v>885258.97</c:v>
                </c:pt>
                <c:pt idx="13">
                  <c:v>454376.58</c:v>
                </c:pt>
                <c:pt idx="14">
                  <c:v>177230.46</c:v>
                </c:pt>
                <c:pt idx="15">
                  <c:v>424701.71</c:v>
                </c:pt>
                <c:pt idx="16">
                  <c:v>615922</c:v>
                </c:pt>
                <c:pt idx="17">
                  <c:v>152435.75</c:v>
                </c:pt>
                <c:pt idx="18">
                  <c:v>328887.12</c:v>
                </c:pt>
                <c:pt idx="19">
                  <c:v>1703515.46</c:v>
                </c:pt>
                <c:pt idx="20">
                  <c:v>253154.83</c:v>
                </c:pt>
                <c:pt idx="21">
                  <c:v>1325890.67</c:v>
                </c:pt>
                <c:pt idx="22">
                  <c:v>590638.34</c:v>
                </c:pt>
                <c:pt idx="23">
                  <c:v>42990.54</c:v>
                </c:pt>
                <c:pt idx="24">
                  <c:v>146656.01999999999</c:v>
                </c:pt>
              </c:numCache>
            </c:numRef>
          </c:xVal>
          <c:yVal>
            <c:numRef>
              <c:f>(ESDC!$G$5,ESDC!$G$10:$G$11,ESDC!$G$13:$G$16,ESDC!$G$20:$G$22,ESDC!$G$24:$G$29,ESDC!$G$31:$G$33,ESDC!$G$35:$G$37,ESDC!$G$40,ESDC!$G$46:$G$47)</c:f>
              <c:numCache>
                <c:formatCode>0.00%</c:formatCode>
                <c:ptCount val="25"/>
                <c:pt idx="0">
                  <c:v>1.1892570315230748E-2</c:v>
                </c:pt>
                <c:pt idx="1">
                  <c:v>1.1535466466123856E-2</c:v>
                </c:pt>
                <c:pt idx="2">
                  <c:v>8.4765274918413205E-3</c:v>
                </c:pt>
                <c:pt idx="3">
                  <c:v>8.3692163081258448E-3</c:v>
                </c:pt>
                <c:pt idx="4">
                  <c:v>8.2881070541974394E-3</c:v>
                </c:pt>
                <c:pt idx="5">
                  <c:v>8.2012530238432906E-3</c:v>
                </c:pt>
                <c:pt idx="6">
                  <c:v>8.0684887014994492E-3</c:v>
                </c:pt>
                <c:pt idx="7">
                  <c:v>9.0563857253369573E-3</c:v>
                </c:pt>
                <c:pt idx="8">
                  <c:v>9.5669627359832518E-3</c:v>
                </c:pt>
                <c:pt idx="9">
                  <c:v>9.6815725271044463E-3</c:v>
                </c:pt>
                <c:pt idx="10">
                  <c:v>1.0030777773080916E-2</c:v>
                </c:pt>
                <c:pt idx="11">
                  <c:v>1.0170547195866252E-2</c:v>
                </c:pt>
                <c:pt idx="12">
                  <c:v>1.0645664511030033E-2</c:v>
                </c:pt>
                <c:pt idx="13">
                  <c:v>1.1024533878924834E-2</c:v>
                </c:pt>
                <c:pt idx="14">
                  <c:v>1.1862069307950791E-2</c:v>
                </c:pt>
                <c:pt idx="15">
                  <c:v>1.2392792108136319E-2</c:v>
                </c:pt>
                <c:pt idx="16">
                  <c:v>1.3485230272664397E-2</c:v>
                </c:pt>
                <c:pt idx="17">
                  <c:v>1.3510347802270794E-2</c:v>
                </c:pt>
                <c:pt idx="18">
                  <c:v>1.4138984828594079E-2</c:v>
                </c:pt>
                <c:pt idx="19">
                  <c:v>1.4530176321381904E-2</c:v>
                </c:pt>
                <c:pt idx="20">
                  <c:v>1.6412841105974553E-2</c:v>
                </c:pt>
                <c:pt idx="21">
                  <c:v>1.7559245665406183E-2</c:v>
                </c:pt>
                <c:pt idx="22">
                  <c:v>5.7216231509793283E-3</c:v>
                </c:pt>
                <c:pt idx="23">
                  <c:v>5.7559174646329165E-3</c:v>
                </c:pt>
                <c:pt idx="24">
                  <c:v>3.5516441807162094E-3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BF-4C5F-9DB6-D5ECD22E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TSCD Design - Historical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Open Trend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9409989005611581E-3"/>
                  <c:y val="-4.42941443656051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TSCD!$C$5:$C$113</c:f>
              <c:numCache>
                <c:formatCode>_("$"* #,##0.00_);_("$"* \(#,##0.00\);_("$"* "-"??_);_(@_)</c:formatCode>
                <c:ptCount val="109"/>
                <c:pt idx="0">
                  <c:v>2006033.03</c:v>
                </c:pt>
                <c:pt idx="1">
                  <c:v>820594.77</c:v>
                </c:pt>
                <c:pt idx="2">
                  <c:v>268033.91999999998</c:v>
                </c:pt>
                <c:pt idx="3">
                  <c:v>836559.23</c:v>
                </c:pt>
                <c:pt idx="4">
                  <c:v>368187.07</c:v>
                </c:pt>
                <c:pt idx="5">
                  <c:v>1290640.68</c:v>
                </c:pt>
                <c:pt idx="6">
                  <c:v>1784779.8</c:v>
                </c:pt>
                <c:pt idx="7">
                  <c:v>1403683.47</c:v>
                </c:pt>
                <c:pt idx="8">
                  <c:v>1310255.1200000001</c:v>
                </c:pt>
                <c:pt idx="9">
                  <c:v>1091231.6000000001</c:v>
                </c:pt>
                <c:pt idx="10">
                  <c:v>914940.51</c:v>
                </c:pt>
                <c:pt idx="11">
                  <c:v>823932.77</c:v>
                </c:pt>
                <c:pt idx="12">
                  <c:v>691683.83</c:v>
                </c:pt>
                <c:pt idx="13">
                  <c:v>628296.99</c:v>
                </c:pt>
                <c:pt idx="14">
                  <c:v>497061.58</c:v>
                </c:pt>
                <c:pt idx="15">
                  <c:v>427748.52</c:v>
                </c:pt>
                <c:pt idx="16">
                  <c:v>270974.68</c:v>
                </c:pt>
                <c:pt idx="17">
                  <c:v>262650</c:v>
                </c:pt>
                <c:pt idx="18">
                  <c:v>256515.18</c:v>
                </c:pt>
                <c:pt idx="19">
                  <c:v>253581.12</c:v>
                </c:pt>
                <c:pt idx="20">
                  <c:v>252986.82</c:v>
                </c:pt>
                <c:pt idx="21">
                  <c:v>229983.74</c:v>
                </c:pt>
                <c:pt idx="22">
                  <c:v>214449.31</c:v>
                </c:pt>
                <c:pt idx="23">
                  <c:v>183706.28</c:v>
                </c:pt>
                <c:pt idx="24">
                  <c:v>178931.16</c:v>
                </c:pt>
                <c:pt idx="25">
                  <c:v>175655.73</c:v>
                </c:pt>
                <c:pt idx="26">
                  <c:v>159847.91</c:v>
                </c:pt>
                <c:pt idx="27">
                  <c:v>148878.92000000001</c:v>
                </c:pt>
                <c:pt idx="28">
                  <c:v>148722.82999999999</c:v>
                </c:pt>
                <c:pt idx="29">
                  <c:v>146038.94</c:v>
                </c:pt>
                <c:pt idx="30">
                  <c:v>144336.5</c:v>
                </c:pt>
                <c:pt idx="31">
                  <c:v>112340.79</c:v>
                </c:pt>
                <c:pt idx="32">
                  <c:v>98750.74</c:v>
                </c:pt>
                <c:pt idx="33">
                  <c:v>96311.72</c:v>
                </c:pt>
                <c:pt idx="34">
                  <c:v>89697.94</c:v>
                </c:pt>
                <c:pt idx="35">
                  <c:v>82226.009999999995</c:v>
                </c:pt>
                <c:pt idx="36">
                  <c:v>81544.240000000005</c:v>
                </c:pt>
                <c:pt idx="37">
                  <c:v>75197.11</c:v>
                </c:pt>
                <c:pt idx="38">
                  <c:v>65946.73</c:v>
                </c:pt>
                <c:pt idx="39">
                  <c:v>55959.519999999997</c:v>
                </c:pt>
                <c:pt idx="40">
                  <c:v>54936.65</c:v>
                </c:pt>
                <c:pt idx="41">
                  <c:v>52838.52</c:v>
                </c:pt>
                <c:pt idx="42">
                  <c:v>50452.65</c:v>
                </c:pt>
                <c:pt idx="43">
                  <c:v>49375.47</c:v>
                </c:pt>
                <c:pt idx="44">
                  <c:v>49244.86</c:v>
                </c:pt>
                <c:pt idx="45">
                  <c:v>47857.5</c:v>
                </c:pt>
                <c:pt idx="46">
                  <c:v>42266.18</c:v>
                </c:pt>
                <c:pt idx="47">
                  <c:v>38421.81</c:v>
                </c:pt>
                <c:pt idx="48">
                  <c:v>37934.53</c:v>
                </c:pt>
                <c:pt idx="49">
                  <c:v>35186.61</c:v>
                </c:pt>
                <c:pt idx="50">
                  <c:v>29205.96</c:v>
                </c:pt>
                <c:pt idx="51">
                  <c:v>28548.5</c:v>
                </c:pt>
                <c:pt idx="52">
                  <c:v>27597.84</c:v>
                </c:pt>
                <c:pt idx="53">
                  <c:v>27486.2</c:v>
                </c:pt>
                <c:pt idx="54">
                  <c:v>27441.11</c:v>
                </c:pt>
                <c:pt idx="55">
                  <c:v>24864.19</c:v>
                </c:pt>
                <c:pt idx="56">
                  <c:v>24549.23</c:v>
                </c:pt>
                <c:pt idx="57">
                  <c:v>22054.5</c:v>
                </c:pt>
                <c:pt idx="58">
                  <c:v>21752.48</c:v>
                </c:pt>
                <c:pt idx="59">
                  <c:v>20964.439999999999</c:v>
                </c:pt>
                <c:pt idx="60">
                  <c:v>20016.45</c:v>
                </c:pt>
                <c:pt idx="61">
                  <c:v>19180.89</c:v>
                </c:pt>
                <c:pt idx="62">
                  <c:v>18448.830000000002</c:v>
                </c:pt>
                <c:pt idx="63">
                  <c:v>17435.91</c:v>
                </c:pt>
                <c:pt idx="64">
                  <c:v>17154.810000000001</c:v>
                </c:pt>
                <c:pt idx="65">
                  <c:v>15272.79</c:v>
                </c:pt>
                <c:pt idx="66">
                  <c:v>13816.58</c:v>
                </c:pt>
                <c:pt idx="67">
                  <c:v>12820.18</c:v>
                </c:pt>
                <c:pt idx="68">
                  <c:v>12819.77</c:v>
                </c:pt>
                <c:pt idx="69">
                  <c:v>12632.25</c:v>
                </c:pt>
                <c:pt idx="70">
                  <c:v>11436.26</c:v>
                </c:pt>
                <c:pt idx="71">
                  <c:v>11349.37</c:v>
                </c:pt>
                <c:pt idx="72">
                  <c:v>10973.19</c:v>
                </c:pt>
                <c:pt idx="73">
                  <c:v>10110.5</c:v>
                </c:pt>
                <c:pt idx="74">
                  <c:v>9504.39</c:v>
                </c:pt>
                <c:pt idx="75">
                  <c:v>9254.73</c:v>
                </c:pt>
                <c:pt idx="76">
                  <c:v>9119.2000000000007</c:v>
                </c:pt>
                <c:pt idx="77">
                  <c:v>7057.08</c:v>
                </c:pt>
                <c:pt idx="78">
                  <c:v>6858.07</c:v>
                </c:pt>
                <c:pt idx="79">
                  <c:v>6811.3</c:v>
                </c:pt>
                <c:pt idx="80">
                  <c:v>6632.32</c:v>
                </c:pt>
                <c:pt idx="81">
                  <c:v>6073.34</c:v>
                </c:pt>
                <c:pt idx="82">
                  <c:v>5987.03</c:v>
                </c:pt>
                <c:pt idx="83">
                  <c:v>5743.38</c:v>
                </c:pt>
                <c:pt idx="84">
                  <c:v>5363.53</c:v>
                </c:pt>
                <c:pt idx="85">
                  <c:v>316176.62</c:v>
                </c:pt>
                <c:pt idx="86">
                  <c:v>283210.74</c:v>
                </c:pt>
                <c:pt idx="87">
                  <c:v>201369.3</c:v>
                </c:pt>
                <c:pt idx="88">
                  <c:v>131927.35</c:v>
                </c:pt>
                <c:pt idx="89">
                  <c:v>90059.55</c:v>
                </c:pt>
                <c:pt idx="90">
                  <c:v>77329.42</c:v>
                </c:pt>
                <c:pt idx="91">
                  <c:v>72507.27</c:v>
                </c:pt>
                <c:pt idx="92">
                  <c:v>71234.3</c:v>
                </c:pt>
                <c:pt idx="93">
                  <c:v>51318.87</c:v>
                </c:pt>
                <c:pt idx="94">
                  <c:v>40306.86</c:v>
                </c:pt>
                <c:pt idx="95">
                  <c:v>32619.62</c:v>
                </c:pt>
                <c:pt idx="96">
                  <c:v>24423.95</c:v>
                </c:pt>
                <c:pt idx="97">
                  <c:v>15871.7</c:v>
                </c:pt>
                <c:pt idx="98">
                  <c:v>14615.16</c:v>
                </c:pt>
                <c:pt idx="99">
                  <c:v>13741.99</c:v>
                </c:pt>
                <c:pt idx="100">
                  <c:v>11953.79</c:v>
                </c:pt>
                <c:pt idx="101">
                  <c:v>10002.61</c:v>
                </c:pt>
                <c:pt idx="102">
                  <c:v>5643.95</c:v>
                </c:pt>
                <c:pt idx="103">
                  <c:v>4170.3599999999997</c:v>
                </c:pt>
                <c:pt idx="104">
                  <c:v>3896.81</c:v>
                </c:pt>
                <c:pt idx="105">
                  <c:v>3375.52</c:v>
                </c:pt>
                <c:pt idx="106">
                  <c:v>2898.49</c:v>
                </c:pt>
                <c:pt idx="107">
                  <c:v>1405.45</c:v>
                </c:pt>
                <c:pt idx="108">
                  <c:v>477.05</c:v>
                </c:pt>
              </c:numCache>
            </c:numRef>
          </c:xVal>
          <c:yVal>
            <c:numRef>
              <c:f>TSCD!$E$5:$E$113</c:f>
              <c:numCache>
                <c:formatCode>0.00%</c:formatCode>
                <c:ptCount val="109"/>
                <c:pt idx="0">
                  <c:v>3.8942728674811501E-3</c:v>
                </c:pt>
                <c:pt idx="1">
                  <c:v>2.3836125594609869E-3</c:v>
                </c:pt>
                <c:pt idx="2">
                  <c:v>5.5644076689995063E-3</c:v>
                </c:pt>
                <c:pt idx="3">
                  <c:v>9.6727161805387047E-4</c:v>
                </c:pt>
                <c:pt idx="4">
                  <c:v>2.2558912783113214E-3</c:v>
                </c:pt>
                <c:pt idx="5">
                  <c:v>5.7659037990341359E-3</c:v>
                </c:pt>
                <c:pt idx="6">
                  <c:v>5.3464578655585413E-3</c:v>
                </c:pt>
                <c:pt idx="7">
                  <c:v>1.3462294316253507E-3</c:v>
                </c:pt>
                <c:pt idx="8">
                  <c:v>2.2175528686352317E-3</c:v>
                </c:pt>
                <c:pt idx="9">
                  <c:v>1.7732807590982516E-3</c:v>
                </c:pt>
                <c:pt idx="10">
                  <c:v>1.6968425630208459E-3</c:v>
                </c:pt>
                <c:pt idx="11">
                  <c:v>7.1930626087368752E-4</c:v>
                </c:pt>
                <c:pt idx="12">
                  <c:v>2.6871236819284907E-3</c:v>
                </c:pt>
                <c:pt idx="13">
                  <c:v>1.4829770233341401E-3</c:v>
                </c:pt>
                <c:pt idx="14">
                  <c:v>3.1212832824456076E-3</c:v>
                </c:pt>
                <c:pt idx="15">
                  <c:v>1.5185324311583824E-3</c:v>
                </c:pt>
                <c:pt idx="16">
                  <c:v>1.9932489633348771E-3</c:v>
                </c:pt>
                <c:pt idx="17">
                  <c:v>7.4468684561203122E-3</c:v>
                </c:pt>
                <c:pt idx="18">
                  <c:v>3.5022878568044201E-3</c:v>
                </c:pt>
                <c:pt idx="19">
                  <c:v>2.1625821354523556E-3</c:v>
                </c:pt>
                <c:pt idx="20">
                  <c:v>3.3470913623089137E-3</c:v>
                </c:pt>
                <c:pt idx="21">
                  <c:v>5.7208392210684111E-4</c:v>
                </c:pt>
                <c:pt idx="22">
                  <c:v>8.4761289276239686E-4</c:v>
                </c:pt>
                <c:pt idx="23">
                  <c:v>1.1780217856460868E-3</c:v>
                </c:pt>
                <c:pt idx="24">
                  <c:v>2.5967528517671264E-3</c:v>
                </c:pt>
                <c:pt idx="25">
                  <c:v>5.237802376273179E-3</c:v>
                </c:pt>
                <c:pt idx="26">
                  <c:v>1.1111311996509681E-2</c:v>
                </c:pt>
                <c:pt idx="27">
                  <c:v>2.4278789770909135E-3</c:v>
                </c:pt>
                <c:pt idx="28">
                  <c:v>5.1073530539998474E-3</c:v>
                </c:pt>
                <c:pt idx="29">
                  <c:v>1.6131314018028343E-3</c:v>
                </c:pt>
                <c:pt idx="30">
                  <c:v>7.9019513428689198E-3</c:v>
                </c:pt>
                <c:pt idx="31">
                  <c:v>6.8599303957182431E-3</c:v>
                </c:pt>
                <c:pt idx="32">
                  <c:v>1.1158599925428407E-2</c:v>
                </c:pt>
                <c:pt idx="33">
                  <c:v>1.0810729992154643E-3</c:v>
                </c:pt>
                <c:pt idx="34">
                  <c:v>7.2844482270161394E-4</c:v>
                </c:pt>
                <c:pt idx="35">
                  <c:v>3.8122973497072281E-3</c:v>
                </c:pt>
                <c:pt idx="36">
                  <c:v>2.9214816399049152E-3</c:v>
                </c:pt>
                <c:pt idx="37">
                  <c:v>3.168073879434994E-3</c:v>
                </c:pt>
                <c:pt idx="38">
                  <c:v>7.9920566190317555E-3</c:v>
                </c:pt>
                <c:pt idx="39">
                  <c:v>1.0256521142425812E-2</c:v>
                </c:pt>
                <c:pt idx="40">
                  <c:v>3.4217594265394773E-3</c:v>
                </c:pt>
                <c:pt idx="41">
                  <c:v>1.5308907213903796E-2</c:v>
                </c:pt>
                <c:pt idx="42">
                  <c:v>6.9157913409900176E-3</c:v>
                </c:pt>
                <c:pt idx="43">
                  <c:v>7.653598031573167E-3</c:v>
                </c:pt>
                <c:pt idx="44">
                  <c:v>4.087533196357955E-3</c:v>
                </c:pt>
                <c:pt idx="45">
                  <c:v>2.909470824844591E-3</c:v>
                </c:pt>
                <c:pt idx="46">
                  <c:v>2.8313417488876448E-3</c:v>
                </c:pt>
                <c:pt idx="47">
                  <c:v>3.3691801609554571E-3</c:v>
                </c:pt>
                <c:pt idx="48">
                  <c:v>4.839126779743943E-3</c:v>
                </c:pt>
                <c:pt idx="49">
                  <c:v>5.6044046300567172E-3</c:v>
                </c:pt>
                <c:pt idx="50">
                  <c:v>6.986245273225054E-3</c:v>
                </c:pt>
                <c:pt idx="51">
                  <c:v>6.691770145541797E-3</c:v>
                </c:pt>
                <c:pt idx="52">
                  <c:v>1.6686088476489463E-3</c:v>
                </c:pt>
                <c:pt idx="53">
                  <c:v>5.8669441392407819E-3</c:v>
                </c:pt>
                <c:pt idx="54">
                  <c:v>1.0553508950621896E-3</c:v>
                </c:pt>
                <c:pt idx="55">
                  <c:v>2.5615151750368703E-3</c:v>
                </c:pt>
                <c:pt idx="56">
                  <c:v>2.5145391525518315E-3</c:v>
                </c:pt>
                <c:pt idx="57">
                  <c:v>1.1544129316012606E-3</c:v>
                </c:pt>
                <c:pt idx="58">
                  <c:v>7.8133619706810455E-3</c:v>
                </c:pt>
                <c:pt idx="59">
                  <c:v>4.9355003043248472E-3</c:v>
                </c:pt>
                <c:pt idx="60">
                  <c:v>8.8477227480397366E-3</c:v>
                </c:pt>
                <c:pt idx="61">
                  <c:v>4.7234513101321153E-3</c:v>
                </c:pt>
                <c:pt idx="62">
                  <c:v>2.8820255810260054E-3</c:v>
                </c:pt>
                <c:pt idx="63">
                  <c:v>1.0827080433427335E-2</c:v>
                </c:pt>
                <c:pt idx="64">
                  <c:v>9.1863448210735069E-3</c:v>
                </c:pt>
                <c:pt idx="65">
                  <c:v>3.9069482393197311E-3</c:v>
                </c:pt>
                <c:pt idx="66">
                  <c:v>5.9110141583517779E-3</c:v>
                </c:pt>
                <c:pt idx="67">
                  <c:v>1.991391696528442E-3</c:v>
                </c:pt>
                <c:pt idx="68">
                  <c:v>2.4626026831994644E-3</c:v>
                </c:pt>
                <c:pt idx="69">
                  <c:v>1.2678659779532546E-2</c:v>
                </c:pt>
                <c:pt idx="70">
                  <c:v>2.4055066953706894E-3</c:v>
                </c:pt>
                <c:pt idx="71">
                  <c:v>1.3594587188539979E-2</c:v>
                </c:pt>
                <c:pt idx="72">
                  <c:v>5.2518912002799548E-3</c:v>
                </c:pt>
                <c:pt idx="73">
                  <c:v>3.0720538054497797E-3</c:v>
                </c:pt>
                <c:pt idx="74">
                  <c:v>7.2135087049247778E-3</c:v>
                </c:pt>
                <c:pt idx="75">
                  <c:v>1.8084806363880958E-2</c:v>
                </c:pt>
                <c:pt idx="76">
                  <c:v>1.2864067023423107E-2</c:v>
                </c:pt>
                <c:pt idx="77">
                  <c:v>1.0009805755354905E-2</c:v>
                </c:pt>
                <c:pt idx="78">
                  <c:v>1.1689877764443933E-2</c:v>
                </c:pt>
                <c:pt idx="79">
                  <c:v>3.949319513161951E-3</c:v>
                </c:pt>
                <c:pt idx="80">
                  <c:v>1.6541722956672777E-2</c:v>
                </c:pt>
                <c:pt idx="81">
                  <c:v>4.4473057658553613E-3</c:v>
                </c:pt>
                <c:pt idx="82">
                  <c:v>8.299607651874135E-3</c:v>
                </c:pt>
                <c:pt idx="83">
                  <c:v>6.1026782138740594E-3</c:v>
                </c:pt>
                <c:pt idx="84">
                  <c:v>1.9927174827026231E-2</c:v>
                </c:pt>
                <c:pt idx="85">
                  <c:v>2.0760232050048484E-3</c:v>
                </c:pt>
                <c:pt idx="86">
                  <c:v>3.5944964516529281E-3</c:v>
                </c:pt>
                <c:pt idx="87">
                  <c:v>7.5552728246063338E-3</c:v>
                </c:pt>
                <c:pt idx="88">
                  <c:v>8.9200609274725821E-4</c:v>
                </c:pt>
                <c:pt idx="89">
                  <c:v>7.9998178982684243E-3</c:v>
                </c:pt>
                <c:pt idx="90">
                  <c:v>7.566977742753017E-3</c:v>
                </c:pt>
                <c:pt idx="91">
                  <c:v>3.1821636644159953E-3</c:v>
                </c:pt>
                <c:pt idx="92">
                  <c:v>4.4303095559302189E-3</c:v>
                </c:pt>
                <c:pt idx="93">
                  <c:v>4.3677890803129529E-3</c:v>
                </c:pt>
                <c:pt idx="94">
                  <c:v>5.7434392061301723E-3</c:v>
                </c:pt>
                <c:pt idx="95">
                  <c:v>4.7609383555050609E-4</c:v>
                </c:pt>
                <c:pt idx="96">
                  <c:v>1.6647593857668393E-3</c:v>
                </c:pt>
                <c:pt idx="97">
                  <c:v>8.7986794105231331E-3</c:v>
                </c:pt>
                <c:pt idx="98">
                  <c:v>8.6075007047476727E-4</c:v>
                </c:pt>
                <c:pt idx="99">
                  <c:v>4.927233974118741E-3</c:v>
                </c:pt>
                <c:pt idx="100">
                  <c:v>6.3435947929485117E-3</c:v>
                </c:pt>
                <c:pt idx="101">
                  <c:v>9.8674246021788299E-4</c:v>
                </c:pt>
                <c:pt idx="102">
                  <c:v>3.0404238166532307E-3</c:v>
                </c:pt>
                <c:pt idx="103">
                  <c:v>1.1437861479584497E-3</c:v>
                </c:pt>
                <c:pt idx="104">
                  <c:v>1.542287152825003E-2</c:v>
                </c:pt>
                <c:pt idx="105">
                  <c:v>1.2442527373560221E-2</c:v>
                </c:pt>
                <c:pt idx="106">
                  <c:v>3.4397220621772031E-3</c:v>
                </c:pt>
                <c:pt idx="107">
                  <c:v>3.5006581521932474E-3</c:v>
                </c:pt>
                <c:pt idx="108">
                  <c:v>4.3391678021171779E-3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9-4CC5-BEDD-58FD2BD99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851856"/>
        <c:axId val="1759848496"/>
      </c:scatterChart>
      <c:valAx>
        <c:axId val="175985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48496"/>
        <c:crosses val="autoZero"/>
        <c:crossBetween val="midCat"/>
      </c:valAx>
      <c:valAx>
        <c:axId val="175984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Forecast</a:t>
                </a:r>
                <a:r>
                  <a:rPr lang="en-US" baseline="0"/>
                  <a:t> Manhours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851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24</xdr:row>
      <xdr:rowOff>0</xdr:rowOff>
    </xdr:from>
    <xdr:to>
      <xdr:col>6</xdr:col>
      <xdr:colOff>990600</xdr:colOff>
      <xdr:row>43</xdr:row>
      <xdr:rowOff>121017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113CAD-7480-4BAE-9A6E-04F53FF913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24</xdr:row>
      <xdr:rowOff>0</xdr:rowOff>
    </xdr:from>
    <xdr:to>
      <xdr:col>6</xdr:col>
      <xdr:colOff>971550</xdr:colOff>
      <xdr:row>43</xdr:row>
      <xdr:rowOff>121017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181DBC-408E-4E64-81A6-937129F97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27</xdr:row>
      <xdr:rowOff>0</xdr:rowOff>
    </xdr:from>
    <xdr:to>
      <xdr:col>6</xdr:col>
      <xdr:colOff>1028700</xdr:colOff>
      <xdr:row>46</xdr:row>
      <xdr:rowOff>121017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8DF95-426F-453F-B987-D9EA63712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22</xdr:row>
      <xdr:rowOff>0</xdr:rowOff>
    </xdr:from>
    <xdr:to>
      <xdr:col>6</xdr:col>
      <xdr:colOff>1066800</xdr:colOff>
      <xdr:row>41</xdr:row>
      <xdr:rowOff>121017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474034-35E5-4404-B938-7B0C5C1A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18</xdr:row>
      <xdr:rowOff>0</xdr:rowOff>
    </xdr:from>
    <xdr:to>
      <xdr:col>6</xdr:col>
      <xdr:colOff>1066800</xdr:colOff>
      <xdr:row>37</xdr:row>
      <xdr:rowOff>121017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CB0D1F-BB96-4F4B-B579-77135856A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</xdr:row>
      <xdr:rowOff>0</xdr:rowOff>
    </xdr:from>
    <xdr:to>
      <xdr:col>6</xdr:col>
      <xdr:colOff>1066800</xdr:colOff>
      <xdr:row>38</xdr:row>
      <xdr:rowOff>121017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CD3BD3-2FC0-4E43-A334-FD2C0A1FFA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19</xdr:row>
      <xdr:rowOff>0</xdr:rowOff>
    </xdr:from>
    <xdr:to>
      <xdr:col>6</xdr:col>
      <xdr:colOff>1066800</xdr:colOff>
      <xdr:row>38</xdr:row>
      <xdr:rowOff>121017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82845-7F1C-4AFD-A3E7-7844EEDDB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247651</xdr:colOff>
      <xdr:row>102</xdr:row>
      <xdr:rowOff>71436</xdr:rowOff>
    </xdr:from>
    <xdr:to>
      <xdr:col>7</xdr:col>
      <xdr:colOff>1057275</xdr:colOff>
      <xdr:row>121</xdr:row>
      <xdr:rowOff>138111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B2EAC-D896-44A6-9B2C-03569F4A3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20</xdr:row>
      <xdr:rowOff>0</xdr:rowOff>
    </xdr:from>
    <xdr:to>
      <xdr:col>6</xdr:col>
      <xdr:colOff>1066800</xdr:colOff>
      <xdr:row>39</xdr:row>
      <xdr:rowOff>121017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24079D-4AB9-4F61-88B4-D64ACFDCE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24</xdr:row>
      <xdr:rowOff>0</xdr:rowOff>
    </xdr:from>
    <xdr:to>
      <xdr:col>6</xdr:col>
      <xdr:colOff>1066800</xdr:colOff>
      <xdr:row>43</xdr:row>
      <xdr:rowOff>121017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8EE9F06-61F0-435B-9C1F-CB6ACB37EE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18</xdr:row>
      <xdr:rowOff>0</xdr:rowOff>
    </xdr:from>
    <xdr:to>
      <xdr:col>6</xdr:col>
      <xdr:colOff>1066800</xdr:colOff>
      <xdr:row>37</xdr:row>
      <xdr:rowOff>121017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F1D83-4561-4808-B53A-804095008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18</xdr:row>
      <xdr:rowOff>0</xdr:rowOff>
    </xdr:from>
    <xdr:to>
      <xdr:col>6</xdr:col>
      <xdr:colOff>1066800</xdr:colOff>
      <xdr:row>37</xdr:row>
      <xdr:rowOff>121017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65EA12-7E67-45F0-A3D3-92FBA22BA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56</xdr:row>
      <xdr:rowOff>0</xdr:rowOff>
    </xdr:from>
    <xdr:to>
      <xdr:col>6</xdr:col>
      <xdr:colOff>1066800</xdr:colOff>
      <xdr:row>75</xdr:row>
      <xdr:rowOff>121017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C66FB7-7841-4380-BDEF-4A31C6D30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122</xdr:row>
      <xdr:rowOff>0</xdr:rowOff>
    </xdr:from>
    <xdr:to>
      <xdr:col>6</xdr:col>
      <xdr:colOff>1066800</xdr:colOff>
      <xdr:row>141</xdr:row>
      <xdr:rowOff>121017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F7581-053B-4FAA-8FA7-4AA139E0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600071</xdr:colOff>
      <xdr:row>18</xdr:row>
      <xdr:rowOff>67047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D60B35-EDA3-4FD6-8453-1485EAFD9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4257671" cy="33055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11</xdr:col>
      <xdr:colOff>314325</xdr:colOff>
      <xdr:row>40</xdr:row>
      <xdr:rowOff>151181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685A9C-0AEC-4C1A-BFE5-0E417300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40480"/>
          <a:ext cx="6410325" cy="362590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20</xdr:col>
      <xdr:colOff>518160</xdr:colOff>
      <xdr:row>30</xdr:row>
      <xdr:rowOff>115969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86B05B-8C41-4D34-97D7-63DF083008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425"/>
        <a:stretch/>
      </xdr:blipFill>
      <xdr:spPr>
        <a:xfrm>
          <a:off x="7315200" y="190500"/>
          <a:ext cx="5394960" cy="564046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7CBF2F-5AA9-4610-A593-4F7016ED791D}" name="Table2" displayName="Table2" ref="A4:K83" totalsRowShown="0" headerRowDxfId="17" headerRowBorderDxfId="16" tableBorderDxfId="15" totalsRowBorderDxfId="14">
  <autoFilter ref="A4:K83" xr:uid="{897CBF2F-5AA9-4610-A593-4F7016ED791D}"/>
  <tableColumns count="11">
    <tableColumn id="1" xr3:uid="{25F70DFF-9DC0-4D77-9854-7297027E10DF}" name="Project" dataDxfId="13"/>
    <tableColumn id="2" xr3:uid="{C739962A-5665-4CCB-AC18-49669F3AA88E}" name="Structure Name" dataDxfId="12" dataCellStyle="Currency"/>
    <tableColumn id="3" xr3:uid="{21AF39E2-B938-4E83-A500-613DF345BBC0}" name="FCT MHRs" dataDxfId="11" dataCellStyle="Currency"/>
    <tableColumn id="4" xr3:uid="{5FCB3296-11D2-4AE9-93A9-F18444E9DC1C}" name="eQTY" dataDxfId="10" dataCellStyle="Currency"/>
    <tableColumn id="5" xr3:uid="{C2E99FBC-7360-45C4-BF0E-D3C9685F174D}" name="Unit" dataDxfId="9" dataCellStyle="Comma"/>
    <tableColumn id="6" xr3:uid="{A3D96A02-AE72-4688-9B5D-D54DE9FD7A33}" name="Production" dataDxfId="8" dataCellStyle="Currency"/>
    <tableColumn id="7" xr3:uid="{5161ECD4-FEBB-4B7A-80FA-C9DD799CAA55}" name="Applicable Job" dataDxfId="7"/>
    <tableColumn id="8" xr3:uid="{F0A068AF-67F4-418C-B696-4A37F475B7D3}" name="Custom" dataDxfId="6" dataCellStyle="Percent"/>
    <tableColumn id="9" xr3:uid="{E24456AC-99A8-4ECC-BBF9-788E9F4FEBC0}" name="Type" dataDxfId="5"/>
    <tableColumn id="10" xr3:uid="{8FC33AE3-C3F4-4B4E-A731-C5DC1F3653E9}" name="Span Arrangement" dataDxfId="4"/>
    <tableColumn id="11" xr3:uid="{D210A85C-BC82-44B8-922E-6D4BDF0DDC12}" name="Scope" dataDxf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C689B-0B6E-4C68-92BD-2D3E6C3B3871}" name="Table1" displayName="Table1" ref="A1:A6" totalsRowShown="0" headerRowDxfId="2" dataDxfId="1">
  <autoFilter ref="A1:A6" xr:uid="{E7BC689B-0B6E-4C68-92BD-2D3E6C3B3871}"/>
  <tableColumns count="1">
    <tableColumn id="1" xr3:uid="{465AF88D-7F18-42ED-8399-FFB30B3090D2}" name="Digital Engineering: Complex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ablebits.com/office-addins-blog/excel-trendline-types-equations-formulas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CFAF-92FC-4DAA-8307-370FBDD261E9}">
  <sheetPr>
    <tabColor theme="3" tint="0.749992370372631"/>
    <outlinePr summaryBelow="0"/>
    <pageSetUpPr fitToPage="1"/>
  </sheetPr>
  <dimension ref="A1:N28"/>
  <sheetViews>
    <sheetView zoomScale="90" zoomScaleNormal="90" zoomScaleSheetLayoutView="80" workbookViewId="0">
      <selection activeCell="I19" sqref="I19"/>
    </sheetView>
  </sheetViews>
  <sheetFormatPr defaultColWidth="9.21875" defaultRowHeight="14.4" outlineLevelRow="1" x14ac:dyDescent="0.3"/>
  <cols>
    <col min="1" max="1" width="28.77734375" style="1" customWidth="1"/>
    <col min="2" max="3" width="30.77734375" style="1" customWidth="1"/>
    <col min="4" max="4" width="12.77734375" style="1" customWidth="1"/>
    <col min="5" max="5" width="8.77734375" style="1" customWidth="1"/>
    <col min="6" max="8" width="12.77734375" style="1" customWidth="1"/>
    <col min="9" max="9" width="50.77734375" style="1" customWidth="1"/>
    <col min="10" max="12" width="12.77734375" style="1" customWidth="1"/>
    <col min="13" max="13" width="15.21875" style="1" bestFit="1" customWidth="1"/>
    <col min="14" max="16384" width="9.21875" style="1"/>
  </cols>
  <sheetData>
    <row r="1" spans="1:12" ht="18" customHeight="1" x14ac:dyDescent="0.3">
      <c r="A1" s="142" t="s">
        <v>52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2" ht="18" customHeight="1" x14ac:dyDescent="0.3">
      <c r="A2" s="141" t="s">
        <v>533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</row>
    <row r="3" spans="1:12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43.2" x14ac:dyDescent="0.3">
      <c r="A4" s="3" t="s">
        <v>15</v>
      </c>
      <c r="B4" s="3" t="s">
        <v>16</v>
      </c>
      <c r="C4" s="3" t="s">
        <v>17</v>
      </c>
      <c r="D4" s="3" t="s">
        <v>175</v>
      </c>
      <c r="E4" s="3" t="s">
        <v>18</v>
      </c>
      <c r="F4" s="3" t="s">
        <v>176</v>
      </c>
      <c r="G4" s="3" t="s">
        <v>177</v>
      </c>
      <c r="H4" s="4" t="s">
        <v>178</v>
      </c>
      <c r="I4" s="5" t="s">
        <v>19</v>
      </c>
      <c r="J4" s="3" t="s">
        <v>179</v>
      </c>
      <c r="K4" s="3" t="s">
        <v>180</v>
      </c>
      <c r="L4" s="4" t="s">
        <v>181</v>
      </c>
    </row>
    <row r="5" spans="1:12" ht="30" customHeight="1" x14ac:dyDescent="0.3">
      <c r="A5" s="18" t="s">
        <v>20</v>
      </c>
      <c r="B5" s="18" t="s">
        <v>21</v>
      </c>
      <c r="C5" s="19" t="s">
        <v>86</v>
      </c>
      <c r="D5" s="90">
        <v>300000</v>
      </c>
      <c r="E5" s="23" t="s">
        <v>22</v>
      </c>
      <c r="F5" s="22">
        <f>DIG_DEL!K9</f>
        <v>6643</v>
      </c>
      <c r="G5" s="72">
        <f>DIG_DEL!K9</f>
        <v>6643</v>
      </c>
      <c r="H5" s="16"/>
      <c r="I5" s="27" t="s">
        <v>539</v>
      </c>
      <c r="J5" s="24">
        <f>IF(D5=0,"",F5/D5)</f>
        <v>2.2143333333333334E-2</v>
      </c>
      <c r="K5" s="24">
        <f>IF(D5=0,"",G5/D5)</f>
        <v>2.2143333333333334E-2</v>
      </c>
      <c r="L5" s="24">
        <f>IF(D5=0,"",H5/D5)</f>
        <v>0</v>
      </c>
    </row>
    <row r="6" spans="1:12" ht="30" customHeight="1" x14ac:dyDescent="0.3">
      <c r="A6" s="18" t="s">
        <v>336</v>
      </c>
      <c r="B6" s="18" t="s">
        <v>23</v>
      </c>
      <c r="C6" s="19" t="s">
        <v>24</v>
      </c>
      <c r="D6" s="17">
        <v>121.5</v>
      </c>
      <c r="E6" s="25" t="s">
        <v>60</v>
      </c>
      <c r="F6" s="21">
        <f>DRN!B22</f>
        <v>18013.639280457362</v>
      </c>
      <c r="G6" s="72">
        <f>DRN!B23</f>
        <v>14250.586929607693</v>
      </c>
      <c r="H6" s="16"/>
      <c r="I6" s="28" t="s">
        <v>520</v>
      </c>
      <c r="J6" s="24">
        <f t="shared" ref="J6:J25" si="0">IF(D6=0,"",F6/D6)</f>
        <v>148.26040560047213</v>
      </c>
      <c r="K6" s="24">
        <f t="shared" ref="K6:K25" si="1">IF(D6=0,"",G6/D6)</f>
        <v>117.28878131364355</v>
      </c>
      <c r="L6" s="24">
        <f t="shared" ref="L6:L25" si="2">IF(D6=0,"",H6/D6)</f>
        <v>0</v>
      </c>
    </row>
    <row r="7" spans="1:12" ht="30" customHeight="1" x14ac:dyDescent="0.3">
      <c r="A7" s="18" t="s">
        <v>28</v>
      </c>
      <c r="B7" s="18" t="s">
        <v>29</v>
      </c>
      <c r="C7" s="19" t="s">
        <v>30</v>
      </c>
      <c r="D7" s="17">
        <v>12</v>
      </c>
      <c r="E7" s="25" t="s">
        <v>55</v>
      </c>
      <c r="F7" s="21">
        <f>D7*350</f>
        <v>4200</v>
      </c>
      <c r="G7" s="72">
        <f>D7*350</f>
        <v>4200</v>
      </c>
      <c r="H7" s="16"/>
      <c r="I7" s="27" t="s">
        <v>341</v>
      </c>
      <c r="J7" s="24">
        <f t="shared" si="0"/>
        <v>350</v>
      </c>
      <c r="K7" s="24">
        <f t="shared" si="1"/>
        <v>350</v>
      </c>
      <c r="L7" s="24">
        <f t="shared" si="2"/>
        <v>0</v>
      </c>
    </row>
    <row r="8" spans="1:12" ht="30" customHeight="1" x14ac:dyDescent="0.3">
      <c r="A8" s="18" t="s">
        <v>31</v>
      </c>
      <c r="B8" s="18" t="s">
        <v>32</v>
      </c>
      <c r="C8" s="19" t="s">
        <v>33</v>
      </c>
      <c r="D8" s="17">
        <v>34910</v>
      </c>
      <c r="E8" s="25" t="s">
        <v>27</v>
      </c>
      <c r="F8" s="21">
        <f>MOT!B22</f>
        <v>10529.532435343564</v>
      </c>
      <c r="G8" s="72">
        <f>MOT!B23</f>
        <v>8563.4356545777755</v>
      </c>
      <c r="H8" s="16"/>
      <c r="I8" s="28" t="s">
        <v>520</v>
      </c>
      <c r="J8" s="24">
        <f t="shared" si="0"/>
        <v>0.30161937654951487</v>
      </c>
      <c r="K8" s="24">
        <f t="shared" si="1"/>
        <v>0.24530036249148598</v>
      </c>
      <c r="L8" s="24">
        <f t="shared" si="2"/>
        <v>0</v>
      </c>
    </row>
    <row r="9" spans="1:12" ht="30" customHeight="1" x14ac:dyDescent="0.3">
      <c r="A9" s="18" t="s">
        <v>34</v>
      </c>
      <c r="B9" s="18" t="s">
        <v>35</v>
      </c>
      <c r="C9" s="19" t="s">
        <v>33</v>
      </c>
      <c r="D9" s="17">
        <v>34910</v>
      </c>
      <c r="E9" s="25" t="s">
        <v>27</v>
      </c>
      <c r="F9" s="21">
        <f>RDWY!B25</f>
        <v>15829.04379558477</v>
      </c>
      <c r="G9" s="72">
        <f>RDWY!B26</f>
        <v>20396.745026152454</v>
      </c>
      <c r="H9" s="16"/>
      <c r="I9" s="28" t="s">
        <v>521</v>
      </c>
      <c r="J9" s="24">
        <f t="shared" si="0"/>
        <v>0.45342434246877028</v>
      </c>
      <c r="K9" s="24">
        <f t="shared" si="1"/>
        <v>0.58426654328709404</v>
      </c>
      <c r="L9" s="24">
        <f t="shared" si="2"/>
        <v>0</v>
      </c>
    </row>
    <row r="10" spans="1:12" ht="30" customHeight="1" x14ac:dyDescent="0.3">
      <c r="A10" s="18" t="s">
        <v>38</v>
      </c>
      <c r="B10" s="18" t="s">
        <v>39</v>
      </c>
      <c r="C10" s="19" t="s">
        <v>33</v>
      </c>
      <c r="D10" s="17">
        <v>34910</v>
      </c>
      <c r="E10" s="25" t="s">
        <v>27</v>
      </c>
      <c r="F10" s="21">
        <f>TRF!B20</f>
        <v>9673.1929239772235</v>
      </c>
      <c r="G10" s="72">
        <f>TRF!B21</f>
        <v>7882.0405896147313</v>
      </c>
      <c r="H10" s="16"/>
      <c r="I10" s="28" t="s">
        <v>521</v>
      </c>
      <c r="J10" s="24">
        <f t="shared" si="0"/>
        <v>0.27708945643016969</v>
      </c>
      <c r="K10" s="24">
        <f t="shared" si="1"/>
        <v>0.225781741323825</v>
      </c>
      <c r="L10" s="24">
        <f t="shared" si="2"/>
        <v>0</v>
      </c>
    </row>
    <row r="11" spans="1:12" ht="30" customHeight="1" x14ac:dyDescent="0.3">
      <c r="A11" s="18" t="s">
        <v>40</v>
      </c>
      <c r="B11" s="18" t="s">
        <v>41</v>
      </c>
      <c r="C11" s="18" t="s">
        <v>53</v>
      </c>
      <c r="D11" s="17">
        <v>15</v>
      </c>
      <c r="E11" s="25" t="s">
        <v>55</v>
      </c>
      <c r="F11" s="21">
        <f>UTL!B16</f>
        <v>3802.7994229794144</v>
      </c>
      <c r="G11" s="72">
        <f>UTL!B17</f>
        <v>3719.6299153748901</v>
      </c>
      <c r="H11" s="16"/>
      <c r="I11" s="28" t="s">
        <v>522</v>
      </c>
      <c r="J11" s="24">
        <f t="shared" si="0"/>
        <v>253.51996153196097</v>
      </c>
      <c r="K11" s="24">
        <f t="shared" si="1"/>
        <v>247.97532769165934</v>
      </c>
      <c r="L11" s="24">
        <f t="shared" si="2"/>
        <v>0</v>
      </c>
    </row>
    <row r="12" spans="1:12" ht="30" customHeight="1" collapsed="1" x14ac:dyDescent="0.3">
      <c r="A12" s="133" t="s">
        <v>540</v>
      </c>
      <c r="B12" s="18" t="s">
        <v>45</v>
      </c>
      <c r="C12" s="18" t="s">
        <v>530</v>
      </c>
      <c r="D12" s="17">
        <f>D13+D14</f>
        <v>10310</v>
      </c>
      <c r="E12" s="25" t="s">
        <v>43</v>
      </c>
      <c r="F12" s="21">
        <f>SUBTOTAL(9,F13:F14)</f>
        <v>433.05380504500761</v>
      </c>
      <c r="G12" s="21">
        <f>SUBTOTAL(9,G13:G14)</f>
        <v>473.40342004527878</v>
      </c>
      <c r="H12" s="17"/>
      <c r="I12" s="28" t="s">
        <v>541</v>
      </c>
      <c r="J12" s="24">
        <f t="shared" si="0"/>
        <v>4.2003278859845547E-2</v>
      </c>
      <c r="K12" s="24">
        <f t="shared" si="1"/>
        <v>4.5916917560162827E-2</v>
      </c>
      <c r="L12" s="24"/>
    </row>
    <row r="13" spans="1:12" ht="30" hidden="1" customHeight="1" outlineLevel="1" x14ac:dyDescent="0.3">
      <c r="A13" s="132" t="s">
        <v>42</v>
      </c>
      <c r="B13" s="18" t="s">
        <v>59</v>
      </c>
      <c r="C13" s="18" t="s">
        <v>56</v>
      </c>
      <c r="D13" s="17">
        <v>10310</v>
      </c>
      <c r="E13" s="26" t="s">
        <v>43</v>
      </c>
      <c r="F13" s="21">
        <f>RWAL!B17</f>
        <v>433.05380504500761</v>
      </c>
      <c r="G13" s="72">
        <f>RWAL!B18</f>
        <v>473.40342004527878</v>
      </c>
      <c r="H13" s="16"/>
      <c r="I13" s="28" t="s">
        <v>523</v>
      </c>
      <c r="J13" s="24">
        <f t="shared" si="0"/>
        <v>4.2003278859845547E-2</v>
      </c>
      <c r="K13" s="24">
        <f t="shared" si="1"/>
        <v>4.5916917560162827E-2</v>
      </c>
      <c r="L13" s="24">
        <f t="shared" si="2"/>
        <v>0</v>
      </c>
    </row>
    <row r="14" spans="1:12" ht="30" hidden="1" customHeight="1" outlineLevel="1" x14ac:dyDescent="0.3">
      <c r="A14" s="132" t="s">
        <v>44</v>
      </c>
      <c r="B14" s="18" t="s">
        <v>529</v>
      </c>
      <c r="C14" s="18" t="s">
        <v>57</v>
      </c>
      <c r="D14" s="17"/>
      <c r="E14" s="26" t="s">
        <v>43</v>
      </c>
      <c r="F14" s="21">
        <f>D14*NWAL!E5</f>
        <v>0</v>
      </c>
      <c r="G14" s="72">
        <f>D14*NWAL!E5</f>
        <v>0</v>
      </c>
      <c r="H14" s="16"/>
      <c r="I14" s="28" t="s">
        <v>531</v>
      </c>
      <c r="J14" s="24" t="str">
        <f t="shared" ref="J14:J15" si="3">IF(D14=0,"",F14/D14)</f>
        <v/>
      </c>
      <c r="K14" s="24" t="str">
        <f t="shared" ref="K14:K15" si="4">IF(D14=0,"",G14/D14)</f>
        <v/>
      </c>
      <c r="L14" s="24" t="str">
        <f t="shared" ref="L14:L15" si="5">IF(D14=0,"",H14/D14)</f>
        <v/>
      </c>
    </row>
    <row r="15" spans="1:12" ht="30" customHeight="1" x14ac:dyDescent="0.3">
      <c r="A15" s="133" t="s">
        <v>528</v>
      </c>
      <c r="B15" s="18" t="s">
        <v>58</v>
      </c>
      <c r="C15" s="18" t="s">
        <v>46</v>
      </c>
      <c r="D15" s="17">
        <f>SUBTOTAL(9,D16:D17)</f>
        <v>226140</v>
      </c>
      <c r="E15" s="26" t="s">
        <v>43</v>
      </c>
      <c r="F15" s="21">
        <f>SUBTOTAL(9,F16:F17)</f>
        <v>21240.220999999998</v>
      </c>
      <c r="G15" s="21">
        <f>SUBTOTAL(9,G16:G17)</f>
        <v>21240.220999999998</v>
      </c>
      <c r="H15" s="17"/>
      <c r="I15" s="28" t="s">
        <v>552</v>
      </c>
      <c r="J15" s="24">
        <f t="shared" si="3"/>
        <v>9.3925095073848053E-2</v>
      </c>
      <c r="K15" s="24">
        <f t="shared" si="4"/>
        <v>9.3925095073848053E-2</v>
      </c>
      <c r="L15" s="24">
        <f t="shared" si="5"/>
        <v>0</v>
      </c>
    </row>
    <row r="16" spans="1:12" ht="30" customHeight="1" outlineLevel="1" x14ac:dyDescent="0.3">
      <c r="A16" s="132" t="s">
        <v>553</v>
      </c>
      <c r="B16" s="18" t="s">
        <v>58</v>
      </c>
      <c r="C16" s="18" t="s">
        <v>46</v>
      </c>
      <c r="D16" s="17">
        <f>SUM(STR!D86:D92)</f>
        <v>50390</v>
      </c>
      <c r="E16" s="26" t="s">
        <v>43</v>
      </c>
      <c r="F16" s="21">
        <f>SUM(STR!C86:C92)</f>
        <v>16524.295999999998</v>
      </c>
      <c r="G16" s="21">
        <f>F16</f>
        <v>16524.295999999998</v>
      </c>
      <c r="H16" s="16"/>
      <c r="I16" s="28" t="s">
        <v>555</v>
      </c>
      <c r="J16" s="24">
        <f t="shared" si="0"/>
        <v>0.32792808096844611</v>
      </c>
      <c r="K16" s="24">
        <f t="shared" si="1"/>
        <v>0.32792808096844611</v>
      </c>
      <c r="L16" s="24">
        <f t="shared" si="2"/>
        <v>0</v>
      </c>
    </row>
    <row r="17" spans="1:14" ht="30" customHeight="1" outlineLevel="1" x14ac:dyDescent="0.3">
      <c r="A17" s="132" t="s">
        <v>554</v>
      </c>
      <c r="B17" s="18" t="s">
        <v>58</v>
      </c>
      <c r="C17" s="18" t="s">
        <v>46</v>
      </c>
      <c r="D17" s="17">
        <f>STR!D93</f>
        <v>175750</v>
      </c>
      <c r="E17" s="26" t="s">
        <v>43</v>
      </c>
      <c r="F17" s="21">
        <f>STR!C93</f>
        <v>4715.9250000000002</v>
      </c>
      <c r="G17" s="21">
        <f>F17</f>
        <v>4715.9250000000002</v>
      </c>
      <c r="H17" s="16"/>
      <c r="I17" s="28" t="s">
        <v>556</v>
      </c>
      <c r="J17" s="24">
        <f t="shared" ref="J17" si="6">IF(D17=0,"",F17/D17)</f>
        <v>2.6833143669985775E-2</v>
      </c>
      <c r="K17" s="24">
        <f t="shared" ref="K17" si="7">IF(D17=0,"",G17/D17)</f>
        <v>2.6833143669985775E-2</v>
      </c>
      <c r="L17" s="24">
        <f t="shared" ref="L17" si="8">IF(D17=0,"",H17/D17)</f>
        <v>0</v>
      </c>
    </row>
    <row r="18" spans="1:14" ht="30" customHeight="1" x14ac:dyDescent="0.3">
      <c r="A18" s="114" t="s">
        <v>47</v>
      </c>
      <c r="B18" s="18" t="s">
        <v>48</v>
      </c>
      <c r="C18" s="18" t="s">
        <v>62</v>
      </c>
      <c r="D18" s="17">
        <f>SUM(G9,G6,G10)</f>
        <v>42529.372545374878</v>
      </c>
      <c r="E18" s="26" t="s">
        <v>61</v>
      </c>
      <c r="F18" s="21">
        <f>MSRT!B18</f>
        <v>2726.7830834329875</v>
      </c>
      <c r="G18" s="72">
        <f>MSRT!B19</f>
        <v>2032.8413178133846</v>
      </c>
      <c r="H18" s="16"/>
      <c r="I18" s="28" t="s">
        <v>525</v>
      </c>
      <c r="J18" s="24">
        <f t="shared" si="0"/>
        <v>6.4115290685837517E-2</v>
      </c>
      <c r="K18" s="24">
        <f t="shared" si="1"/>
        <v>4.7798525963310003E-2</v>
      </c>
      <c r="L18" s="24">
        <f t="shared" si="2"/>
        <v>0</v>
      </c>
      <c r="M18" s="131"/>
    </row>
    <row r="19" spans="1:14" ht="30" customHeight="1" x14ac:dyDescent="0.3">
      <c r="A19" s="18" t="s">
        <v>49</v>
      </c>
      <c r="B19" s="18" t="s">
        <v>50</v>
      </c>
      <c r="C19" s="21" t="s">
        <v>51</v>
      </c>
      <c r="D19" s="17">
        <v>12</v>
      </c>
      <c r="E19" s="25" t="s">
        <v>55</v>
      </c>
      <c r="F19" s="21">
        <f>GEO!$B$22</f>
        <v>5787.0806304519665</v>
      </c>
      <c r="G19" s="72">
        <f>GEO!$B$23</f>
        <v>2492.4014008474182</v>
      </c>
      <c r="H19" s="16"/>
      <c r="I19" s="28" t="s">
        <v>524</v>
      </c>
      <c r="J19" s="24">
        <f t="shared" si="0"/>
        <v>482.25671920433052</v>
      </c>
      <c r="K19" s="24">
        <f t="shared" si="1"/>
        <v>207.70011673728484</v>
      </c>
      <c r="L19" s="24">
        <f t="shared" si="2"/>
        <v>0</v>
      </c>
    </row>
    <row r="20" spans="1:14" ht="30" hidden="1" customHeight="1" x14ac:dyDescent="0.3">
      <c r="A20" s="18" t="s">
        <v>25</v>
      </c>
      <c r="B20" s="20">
        <v>88.35</v>
      </c>
      <c r="C20" s="19" t="s">
        <v>26</v>
      </c>
      <c r="D20" s="17">
        <v>0</v>
      </c>
      <c r="E20" s="25" t="s">
        <v>54</v>
      </c>
      <c r="F20" s="21">
        <f>SYS!B16</f>
        <v>0</v>
      </c>
      <c r="G20" s="72">
        <f>SYS!B17</f>
        <v>0</v>
      </c>
      <c r="H20" s="16"/>
      <c r="I20" s="28" t="s">
        <v>518</v>
      </c>
      <c r="J20" s="24" t="str">
        <f t="shared" si="0"/>
        <v/>
      </c>
      <c r="K20" s="24" t="str">
        <f t="shared" si="1"/>
        <v/>
      </c>
      <c r="L20" s="24" t="str">
        <f t="shared" si="2"/>
        <v/>
      </c>
    </row>
    <row r="21" spans="1:14" ht="30" hidden="1" customHeight="1" x14ac:dyDescent="0.3">
      <c r="A21" s="18" t="s">
        <v>36</v>
      </c>
      <c r="B21" s="18" t="s">
        <v>37</v>
      </c>
      <c r="C21" s="19" t="s">
        <v>26</v>
      </c>
      <c r="D21" s="17">
        <v>0</v>
      </c>
      <c r="E21" s="25" t="s">
        <v>54</v>
      </c>
      <c r="F21" s="21">
        <f>TRK!B16</f>
        <v>0</v>
      </c>
      <c r="G21" s="72">
        <f>TRK!B17</f>
        <v>0</v>
      </c>
      <c r="H21" s="16"/>
      <c r="I21" s="28" t="s">
        <v>519</v>
      </c>
      <c r="J21" s="24" t="str">
        <f t="shared" si="0"/>
        <v/>
      </c>
      <c r="K21" s="24" t="str">
        <f t="shared" si="1"/>
        <v/>
      </c>
      <c r="L21" s="24" t="str">
        <f t="shared" si="2"/>
        <v/>
      </c>
    </row>
    <row r="22" spans="1:14" ht="30" hidden="1" customHeight="1" x14ac:dyDescent="0.3">
      <c r="A22" s="28" t="s">
        <v>557</v>
      </c>
      <c r="B22" s="28"/>
      <c r="C22" s="17"/>
      <c r="D22" s="17"/>
      <c r="E22" s="29"/>
      <c r="F22" s="17"/>
      <c r="G22" s="16"/>
      <c r="H22" s="16"/>
      <c r="I22" s="28" t="s">
        <v>532</v>
      </c>
      <c r="J22" s="88" t="str">
        <f t="shared" si="0"/>
        <v/>
      </c>
      <c r="K22" s="88" t="str">
        <f t="shared" si="1"/>
        <v/>
      </c>
      <c r="L22" s="24" t="str">
        <f t="shared" si="2"/>
        <v/>
      </c>
    </row>
    <row r="23" spans="1:14" ht="30" hidden="1" customHeight="1" x14ac:dyDescent="0.3">
      <c r="A23" s="28" t="s">
        <v>557</v>
      </c>
      <c r="B23" s="28"/>
      <c r="C23" s="17"/>
      <c r="D23" s="17"/>
      <c r="E23" s="29"/>
      <c r="F23" s="17"/>
      <c r="G23" s="16"/>
      <c r="H23" s="16"/>
      <c r="I23" s="28" t="s">
        <v>532</v>
      </c>
      <c r="J23" s="88" t="str">
        <f t="shared" si="0"/>
        <v/>
      </c>
      <c r="K23" s="88" t="str">
        <f t="shared" si="1"/>
        <v/>
      </c>
      <c r="L23" s="24" t="str">
        <f t="shared" si="2"/>
        <v/>
      </c>
    </row>
    <row r="24" spans="1:14" ht="30" customHeight="1" x14ac:dyDescent="0.3">
      <c r="A24" s="18" t="s">
        <v>83</v>
      </c>
      <c r="B24" s="18"/>
      <c r="C24" s="21" t="s">
        <v>85</v>
      </c>
      <c r="D24" s="89">
        <f>D5/(1+0.15)</f>
        <v>260869.56521739133</v>
      </c>
      <c r="E24" s="25" t="s">
        <v>22</v>
      </c>
      <c r="F24" s="21">
        <f>(ESDC!B54/Dropdowns!B8)/Dropdowns!B9*1000</f>
        <v>12483.256418708854</v>
      </c>
      <c r="G24" s="21">
        <f>(ESDC!B55/Dropdowns!B8)/Dropdowns!B9*1000</f>
        <v>13493.460333291347</v>
      </c>
      <c r="H24" s="16"/>
      <c r="I24" s="28"/>
      <c r="J24" s="24">
        <f t="shared" si="0"/>
        <v>4.7852482938383935E-2</v>
      </c>
      <c r="K24" s="24">
        <f t="shared" si="1"/>
        <v>5.1724931277616827E-2</v>
      </c>
      <c r="L24" s="24">
        <f t="shared" si="2"/>
        <v>0</v>
      </c>
      <c r="M24" s="140"/>
      <c r="N24" s="140"/>
    </row>
    <row r="25" spans="1:14" ht="30" customHeight="1" x14ac:dyDescent="0.3">
      <c r="A25" s="18" t="s">
        <v>84</v>
      </c>
      <c r="B25" s="18"/>
      <c r="C25" s="21" t="s">
        <v>85</v>
      </c>
      <c r="D25" s="89">
        <f>D5/(1+0.15)</f>
        <v>260869.56521739133</v>
      </c>
      <c r="E25" s="25" t="s">
        <v>22</v>
      </c>
      <c r="F25" s="21">
        <f>(TSCD!B120/Dropdowns!B8)/Dropdowns!B9*1000</f>
        <v>4068.3217759388885</v>
      </c>
      <c r="G25" s="21">
        <f>(TSCD!B121/Dropdowns!B8)/Dropdowns!B9*1000</f>
        <v>4619.8316573646589</v>
      </c>
      <c r="H25" s="16"/>
      <c r="I25" s="28"/>
      <c r="J25" s="24">
        <f t="shared" si="0"/>
        <v>1.5595233474432405E-2</v>
      </c>
      <c r="K25" s="24">
        <f t="shared" si="1"/>
        <v>1.7709354686564524E-2</v>
      </c>
      <c r="L25" s="24">
        <f t="shared" si="2"/>
        <v>0</v>
      </c>
      <c r="M25" s="140"/>
      <c r="N25" s="140"/>
    </row>
    <row r="27" spans="1:14" x14ac:dyDescent="0.3">
      <c r="C27" s="143" t="s">
        <v>234</v>
      </c>
      <c r="D27" s="143"/>
      <c r="E27" s="143"/>
      <c r="F27" s="73">
        <f>SUBTOTAL(9,F5:F25)</f>
        <v>115429.92457192007</v>
      </c>
      <c r="G27" s="73">
        <f>SUBTOTAL(9,G5:G25)</f>
        <v>110007.5972446896</v>
      </c>
      <c r="H27" s="73">
        <f>SUBTOTAL(9,H5:H25)</f>
        <v>0</v>
      </c>
    </row>
    <row r="28" spans="1:14" x14ac:dyDescent="0.3">
      <c r="C28" s="135"/>
      <c r="D28" s="135"/>
      <c r="E28" s="135"/>
      <c r="F28" s="134"/>
      <c r="G28" s="134"/>
      <c r="H28" s="134"/>
    </row>
  </sheetData>
  <mergeCells count="3">
    <mergeCell ref="A2:L2"/>
    <mergeCell ref="A1:L1"/>
    <mergeCell ref="C27:E27"/>
  </mergeCells>
  <pageMargins left="0.7" right="0.7" top="0.75" bottom="0.75" header="0.3" footer="0.3"/>
  <pageSetup paperSize="3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24C6-3538-4E46-A4F3-FB2F7A02FD5F}">
  <sheetPr>
    <tabColor theme="9" tint="0.79998168889431442"/>
    <pageSetUpPr fitToPage="1"/>
  </sheetPr>
  <dimension ref="A1:M38"/>
  <sheetViews>
    <sheetView view="pageBreakPreview" topLeftCell="A15" zoomScale="110" zoomScaleNormal="100" zoomScaleSheetLayoutView="110" workbookViewId="0">
      <selection activeCell="J33" sqref="J33"/>
    </sheetView>
  </sheetViews>
  <sheetFormatPr defaultRowHeight="14.4" x14ac:dyDescent="0.3"/>
  <cols>
    <col min="1" max="1" width="25.77734375" customWidth="1"/>
    <col min="2" max="7" width="10.77734375" customWidth="1"/>
    <col min="8" max="8" width="3.77734375" customWidth="1"/>
    <col min="9" max="9" width="9.21875" customWidth="1"/>
    <col min="10" max="10" width="40.77734375" customWidth="1"/>
    <col min="11" max="12" width="18.77734375" customWidth="1"/>
  </cols>
  <sheetData>
    <row r="1" spans="1:13" ht="15.6" x14ac:dyDescent="0.3">
      <c r="A1" s="145" t="s">
        <v>20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3" x14ac:dyDescent="0.3">
      <c r="A2" s="144" t="s">
        <v>227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3" ht="15" thickBot="1" x14ac:dyDescent="0.35"/>
    <row r="4" spans="1:13" ht="15" thickBot="1" x14ac:dyDescent="0.35">
      <c r="A4" s="148" t="s">
        <v>182</v>
      </c>
      <c r="B4" s="149"/>
      <c r="C4" s="149"/>
      <c r="D4" s="149"/>
      <c r="E4" s="149"/>
      <c r="F4" s="149"/>
      <c r="G4" s="150"/>
      <c r="I4" s="156" t="s">
        <v>183</v>
      </c>
      <c r="J4" s="152"/>
      <c r="K4" s="153"/>
    </row>
    <row r="5" spans="1:13" x14ac:dyDescent="0.3">
      <c r="A5" s="157" t="s">
        <v>184</v>
      </c>
      <c r="B5" s="158"/>
      <c r="C5" s="157" t="s">
        <v>185</v>
      </c>
      <c r="D5" s="159"/>
      <c r="E5" s="159"/>
      <c r="F5" s="159"/>
      <c r="G5" s="160"/>
      <c r="I5" s="161" t="s">
        <v>186</v>
      </c>
      <c r="J5" s="162"/>
      <c r="K5" s="64">
        <f>'Summary - MH'!D5*1000</f>
        <v>300000000</v>
      </c>
    </row>
    <row r="6" spans="1:13" ht="15" thickBot="1" x14ac:dyDescent="0.35">
      <c r="A6" s="116" t="s">
        <v>187</v>
      </c>
      <c r="B6" s="117" t="s">
        <v>188</v>
      </c>
      <c r="C6" s="116" t="s">
        <v>189</v>
      </c>
      <c r="D6" s="118" t="s">
        <v>190</v>
      </c>
      <c r="E6" s="32" t="s">
        <v>191</v>
      </c>
      <c r="F6" s="118" t="s">
        <v>192</v>
      </c>
      <c r="G6" s="119" t="s">
        <v>193</v>
      </c>
      <c r="I6" s="146" t="s">
        <v>194</v>
      </c>
      <c r="J6" s="147"/>
      <c r="K6" s="62" t="s">
        <v>191</v>
      </c>
    </row>
    <row r="7" spans="1:13" x14ac:dyDescent="0.3">
      <c r="A7" s="120" t="s">
        <v>195</v>
      </c>
      <c r="B7" s="33">
        <v>1</v>
      </c>
      <c r="C7" s="120">
        <v>1</v>
      </c>
      <c r="D7" s="121">
        <v>2</v>
      </c>
      <c r="E7" s="34">
        <v>4</v>
      </c>
      <c r="F7" s="121">
        <v>8</v>
      </c>
      <c r="G7" s="122">
        <v>16</v>
      </c>
      <c r="I7" s="146" t="s">
        <v>198</v>
      </c>
      <c r="J7" s="147"/>
      <c r="K7" s="62">
        <v>12</v>
      </c>
      <c r="M7" s="35"/>
    </row>
    <row r="8" spans="1:13" x14ac:dyDescent="0.3">
      <c r="A8" s="123" t="s">
        <v>197</v>
      </c>
      <c r="B8" s="124">
        <v>2</v>
      </c>
      <c r="C8" s="123">
        <v>2</v>
      </c>
      <c r="D8" s="37">
        <v>4</v>
      </c>
      <c r="E8" s="36">
        <v>8</v>
      </c>
      <c r="F8" s="37">
        <v>16</v>
      </c>
      <c r="G8" s="38">
        <v>32</v>
      </c>
      <c r="I8" s="146" t="s">
        <v>196</v>
      </c>
      <c r="J8" s="147"/>
      <c r="K8" s="62">
        <v>30</v>
      </c>
    </row>
    <row r="9" spans="1:13" ht="15" thickBot="1" x14ac:dyDescent="0.35">
      <c r="A9" s="39" t="s">
        <v>199</v>
      </c>
      <c r="B9" s="40">
        <v>3</v>
      </c>
      <c r="C9" s="39">
        <v>3</v>
      </c>
      <c r="D9" s="36">
        <v>6</v>
      </c>
      <c r="E9" s="36">
        <v>12</v>
      </c>
      <c r="F9" s="37">
        <v>24</v>
      </c>
      <c r="G9" s="38">
        <v>48</v>
      </c>
      <c r="I9" s="154" t="s">
        <v>200</v>
      </c>
      <c r="J9" s="155"/>
      <c r="K9" s="63">
        <v>6643</v>
      </c>
    </row>
    <row r="10" spans="1:13" x14ac:dyDescent="0.3">
      <c r="A10" s="123" t="s">
        <v>201</v>
      </c>
      <c r="B10" s="124">
        <v>6</v>
      </c>
      <c r="C10" s="123">
        <v>6</v>
      </c>
      <c r="D10" s="37">
        <v>12</v>
      </c>
      <c r="E10" s="37">
        <v>24</v>
      </c>
      <c r="F10" s="37">
        <v>48</v>
      </c>
      <c r="G10" s="38">
        <v>96</v>
      </c>
    </row>
    <row r="11" spans="1:13" ht="15" thickBot="1" x14ac:dyDescent="0.35">
      <c r="A11" s="123" t="s">
        <v>202</v>
      </c>
      <c r="B11" s="124">
        <v>10</v>
      </c>
      <c r="C11" s="123">
        <v>10</v>
      </c>
      <c r="D11" s="37">
        <v>20</v>
      </c>
      <c r="E11" s="37">
        <v>40</v>
      </c>
      <c r="F11" s="37">
        <v>80</v>
      </c>
      <c r="G11" s="38">
        <v>160</v>
      </c>
    </row>
    <row r="12" spans="1:13" ht="15" thickBot="1" x14ac:dyDescent="0.35">
      <c r="A12" s="125" t="s">
        <v>203</v>
      </c>
      <c r="B12" s="126">
        <v>12</v>
      </c>
      <c r="C12" s="125">
        <v>12</v>
      </c>
      <c r="D12" s="41">
        <v>24</v>
      </c>
      <c r="E12" s="41">
        <v>48</v>
      </c>
      <c r="F12" s="41">
        <v>96</v>
      </c>
      <c r="G12" s="42">
        <v>192</v>
      </c>
      <c r="I12" s="30" t="s">
        <v>204</v>
      </c>
      <c r="J12" s="31" t="s">
        <v>94</v>
      </c>
      <c r="K12" s="43" t="s">
        <v>205</v>
      </c>
      <c r="L12" s="44" t="s">
        <v>176</v>
      </c>
    </row>
    <row r="13" spans="1:13" ht="15" thickBot="1" x14ac:dyDescent="0.35">
      <c r="I13" s="45" t="s">
        <v>206</v>
      </c>
      <c r="J13" s="46" t="s">
        <v>207</v>
      </c>
      <c r="K13" s="33" t="s">
        <v>208</v>
      </c>
      <c r="L13" s="47" t="s">
        <v>208</v>
      </c>
    </row>
    <row r="14" spans="1:13" ht="15" thickBot="1" x14ac:dyDescent="0.35">
      <c r="A14" s="148" t="s">
        <v>209</v>
      </c>
      <c r="B14" s="149"/>
      <c r="C14" s="149"/>
      <c r="D14" s="149"/>
      <c r="E14" s="149"/>
      <c r="F14" s="149"/>
      <c r="G14" s="150"/>
      <c r="I14" s="48" t="s">
        <v>210</v>
      </c>
      <c r="J14" s="49" t="s">
        <v>211</v>
      </c>
      <c r="K14" s="50">
        <v>0.22</v>
      </c>
      <c r="L14" s="51">
        <f>$K$9*K14</f>
        <v>1461.46</v>
      </c>
    </row>
    <row r="15" spans="1:13" ht="15" thickBot="1" x14ac:dyDescent="0.35">
      <c r="A15" s="44" t="s">
        <v>212</v>
      </c>
      <c r="B15" s="127">
        <v>1</v>
      </c>
      <c r="C15" s="31">
        <v>2</v>
      </c>
      <c r="D15" s="128" t="s">
        <v>213</v>
      </c>
      <c r="E15" s="31" t="s">
        <v>214</v>
      </c>
      <c r="F15" s="31" t="s">
        <v>215</v>
      </c>
      <c r="G15" s="115" t="s">
        <v>216</v>
      </c>
      <c r="I15" s="48" t="s">
        <v>217</v>
      </c>
      <c r="J15" s="49" t="s">
        <v>218</v>
      </c>
      <c r="K15" s="50">
        <v>0.25</v>
      </c>
      <c r="L15" s="51">
        <f>$K$9*K15</f>
        <v>1660.75</v>
      </c>
    </row>
    <row r="16" spans="1:13" x14ac:dyDescent="0.3">
      <c r="A16" s="129" t="s">
        <v>219</v>
      </c>
      <c r="B16" s="130">
        <v>0.25</v>
      </c>
      <c r="C16" s="121">
        <v>0.5</v>
      </c>
      <c r="D16" s="121">
        <v>1</v>
      </c>
      <c r="E16" s="34">
        <v>1.5</v>
      </c>
      <c r="F16" s="121">
        <v>1.6</v>
      </c>
      <c r="G16" s="122">
        <v>1.75</v>
      </c>
      <c r="I16" s="48" t="s">
        <v>220</v>
      </c>
      <c r="J16" s="49" t="s">
        <v>221</v>
      </c>
      <c r="K16" s="50">
        <v>0.33</v>
      </c>
      <c r="L16" s="51">
        <f>$K$9*K16</f>
        <v>2192.19</v>
      </c>
    </row>
    <row r="17" spans="1:12" ht="15" thickBot="1" x14ac:dyDescent="0.35">
      <c r="A17" s="52" t="s">
        <v>222</v>
      </c>
      <c r="B17" s="53" t="s">
        <v>208</v>
      </c>
      <c r="C17" s="41" t="s">
        <v>208</v>
      </c>
      <c r="D17" s="41" t="s">
        <v>208</v>
      </c>
      <c r="E17" s="54">
        <v>0.1</v>
      </c>
      <c r="F17" s="41">
        <v>0.15</v>
      </c>
      <c r="G17" s="42">
        <v>0.25</v>
      </c>
      <c r="I17" s="48" t="s">
        <v>223</v>
      </c>
      <c r="J17" s="49" t="s">
        <v>224</v>
      </c>
      <c r="K17" s="50">
        <v>0.2</v>
      </c>
      <c r="L17" s="51">
        <f>$K$9*K17</f>
        <v>1328.6000000000001</v>
      </c>
    </row>
    <row r="18" spans="1:12" ht="15" thickBot="1" x14ac:dyDescent="0.35">
      <c r="I18" s="55" t="s">
        <v>225</v>
      </c>
      <c r="J18" s="56" t="s">
        <v>226</v>
      </c>
      <c r="K18" s="57" t="s">
        <v>208</v>
      </c>
      <c r="L18" s="58" t="s">
        <v>208</v>
      </c>
    </row>
    <row r="19" spans="1:12" ht="15" thickBot="1" x14ac:dyDescent="0.35">
      <c r="A19" s="44" t="s">
        <v>196</v>
      </c>
      <c r="B19" s="151" t="s">
        <v>200</v>
      </c>
      <c r="C19" s="152"/>
      <c r="D19" s="152"/>
      <c r="E19" s="152"/>
      <c r="F19" s="152"/>
      <c r="G19" s="153"/>
    </row>
    <row r="20" spans="1:12" x14ac:dyDescent="0.3">
      <c r="A20" s="129">
        <v>6</v>
      </c>
      <c r="B20" s="130">
        <v>260</v>
      </c>
      <c r="C20" s="121">
        <v>519</v>
      </c>
      <c r="D20" s="121">
        <v>1308</v>
      </c>
      <c r="E20" s="34">
        <v>1661</v>
      </c>
      <c r="F20" s="121">
        <v>1817</v>
      </c>
      <c r="G20" s="122">
        <v>2076</v>
      </c>
    </row>
    <row r="21" spans="1:12" x14ac:dyDescent="0.3">
      <c r="A21" s="59">
        <v>7</v>
      </c>
      <c r="B21" s="60">
        <v>303</v>
      </c>
      <c r="C21" s="37">
        <v>606</v>
      </c>
      <c r="D21" s="37">
        <v>1211</v>
      </c>
      <c r="E21" s="36">
        <v>1938</v>
      </c>
      <c r="F21" s="37">
        <v>2119</v>
      </c>
      <c r="G21" s="38">
        <v>2422</v>
      </c>
    </row>
    <row r="22" spans="1:12" x14ac:dyDescent="0.3">
      <c r="A22" s="59">
        <v>8</v>
      </c>
      <c r="B22" s="60">
        <v>348</v>
      </c>
      <c r="C22" s="37">
        <v>692</v>
      </c>
      <c r="D22" s="37">
        <v>1384</v>
      </c>
      <c r="E22" s="36">
        <v>2214</v>
      </c>
      <c r="F22" s="37">
        <v>2422</v>
      </c>
      <c r="G22" s="38">
        <v>2768</v>
      </c>
    </row>
    <row r="23" spans="1:12" x14ac:dyDescent="0.3">
      <c r="A23" s="59">
        <v>9</v>
      </c>
      <c r="B23" s="60">
        <v>389</v>
      </c>
      <c r="C23" s="37">
        <v>779</v>
      </c>
      <c r="D23" s="37">
        <v>1557</v>
      </c>
      <c r="E23" s="36">
        <v>2491</v>
      </c>
      <c r="F23" s="37">
        <v>2725</v>
      </c>
      <c r="G23" s="38">
        <v>3114</v>
      </c>
    </row>
    <row r="24" spans="1:12" x14ac:dyDescent="0.3">
      <c r="A24" s="59">
        <v>10</v>
      </c>
      <c r="B24" s="60">
        <v>433</v>
      </c>
      <c r="C24" s="37">
        <v>865</v>
      </c>
      <c r="D24" s="37">
        <v>1730</v>
      </c>
      <c r="E24" s="36">
        <v>2768</v>
      </c>
      <c r="F24" s="37">
        <v>3028</v>
      </c>
      <c r="G24" s="38">
        <v>3460</v>
      </c>
      <c r="J24" t="s">
        <v>534</v>
      </c>
      <c r="K24" s="139">
        <v>46253</v>
      </c>
    </row>
    <row r="25" spans="1:12" x14ac:dyDescent="0.3">
      <c r="A25" s="59">
        <v>11</v>
      </c>
      <c r="B25" s="60">
        <v>476</v>
      </c>
      <c r="C25" s="37">
        <v>952</v>
      </c>
      <c r="D25" s="37">
        <v>1903</v>
      </c>
      <c r="E25" s="36">
        <v>3045</v>
      </c>
      <c r="F25" s="37">
        <v>3330</v>
      </c>
      <c r="G25" s="38">
        <v>3806</v>
      </c>
      <c r="J25" t="s">
        <v>535</v>
      </c>
      <c r="K25" s="139">
        <v>47175</v>
      </c>
    </row>
    <row r="26" spans="1:12" x14ac:dyDescent="0.3">
      <c r="A26" s="59">
        <v>12</v>
      </c>
      <c r="B26" s="60">
        <v>519</v>
      </c>
      <c r="C26" s="37">
        <v>1038</v>
      </c>
      <c r="D26" s="37">
        <v>2076</v>
      </c>
      <c r="E26" s="36">
        <v>3322</v>
      </c>
      <c r="F26" s="37">
        <v>3633</v>
      </c>
      <c r="G26" s="38">
        <v>4152</v>
      </c>
      <c r="K26">
        <f>K25-K24</f>
        <v>922</v>
      </c>
      <c r="L26" t="s">
        <v>537</v>
      </c>
    </row>
    <row r="27" spans="1:12" x14ac:dyDescent="0.3">
      <c r="A27" s="59">
        <v>13</v>
      </c>
      <c r="B27" s="60">
        <v>562</v>
      </c>
      <c r="C27" s="37">
        <v>1125</v>
      </c>
      <c r="D27" s="37">
        <v>2249</v>
      </c>
      <c r="E27" s="36">
        <v>3598</v>
      </c>
      <c r="F27" s="37">
        <v>3936</v>
      </c>
      <c r="G27" s="38">
        <v>4498</v>
      </c>
      <c r="K27" s="136">
        <f>K26/7</f>
        <v>131.71428571428572</v>
      </c>
      <c r="L27" t="s">
        <v>536</v>
      </c>
    </row>
    <row r="28" spans="1:12" x14ac:dyDescent="0.3">
      <c r="A28" s="59">
        <v>14</v>
      </c>
      <c r="B28" s="60">
        <v>606</v>
      </c>
      <c r="C28" s="37">
        <v>1211</v>
      </c>
      <c r="D28" s="37">
        <v>2422</v>
      </c>
      <c r="E28" s="36">
        <v>3875</v>
      </c>
      <c r="F28" s="37">
        <v>4239</v>
      </c>
      <c r="G28" s="38">
        <v>4844</v>
      </c>
      <c r="K28" s="136">
        <f>K27/4.33</f>
        <v>30.419003629165292</v>
      </c>
      <c r="L28" t="s">
        <v>538</v>
      </c>
    </row>
    <row r="29" spans="1:12" x14ac:dyDescent="0.3">
      <c r="A29" s="59">
        <v>15</v>
      </c>
      <c r="B29" s="60">
        <v>649</v>
      </c>
      <c r="C29" s="37">
        <v>1298</v>
      </c>
      <c r="D29" s="37">
        <v>2595</v>
      </c>
      <c r="E29" s="36">
        <v>4152</v>
      </c>
      <c r="F29" s="37">
        <v>4541</v>
      </c>
      <c r="G29" s="38">
        <v>5190</v>
      </c>
    </row>
    <row r="30" spans="1:12" x14ac:dyDescent="0.3">
      <c r="A30" s="59">
        <v>16</v>
      </c>
      <c r="B30" s="60">
        <v>692</v>
      </c>
      <c r="C30" s="37">
        <v>1384</v>
      </c>
      <c r="D30" s="37">
        <v>2768</v>
      </c>
      <c r="E30" s="36">
        <v>4429</v>
      </c>
      <c r="F30" s="37">
        <v>4844</v>
      </c>
      <c r="G30" s="38">
        <v>5536</v>
      </c>
    </row>
    <row r="31" spans="1:12" x14ac:dyDescent="0.3">
      <c r="A31" s="59">
        <v>17</v>
      </c>
      <c r="B31" s="60">
        <v>735</v>
      </c>
      <c r="C31" s="37">
        <v>1471</v>
      </c>
      <c r="D31" s="37">
        <v>2941</v>
      </c>
      <c r="E31" s="36">
        <v>4706</v>
      </c>
      <c r="F31" s="37">
        <v>5147</v>
      </c>
      <c r="G31" s="38">
        <v>5882</v>
      </c>
    </row>
    <row r="32" spans="1:12" x14ac:dyDescent="0.3">
      <c r="A32" s="59">
        <v>18</v>
      </c>
      <c r="B32" s="60">
        <v>779</v>
      </c>
      <c r="C32" s="37">
        <v>1557</v>
      </c>
      <c r="D32" s="37">
        <v>3114</v>
      </c>
      <c r="E32" s="36">
        <v>4982</v>
      </c>
      <c r="F32" s="37">
        <v>5450</v>
      </c>
      <c r="G32" s="38">
        <v>6228</v>
      </c>
    </row>
    <row r="33" spans="1:7" x14ac:dyDescent="0.3">
      <c r="A33" s="59">
        <v>19</v>
      </c>
      <c r="B33" s="60">
        <v>822</v>
      </c>
      <c r="C33" s="37">
        <v>1644</v>
      </c>
      <c r="D33" s="37">
        <v>3287</v>
      </c>
      <c r="E33" s="36">
        <v>5259</v>
      </c>
      <c r="F33" s="37">
        <v>5752</v>
      </c>
      <c r="G33" s="38">
        <v>6574</v>
      </c>
    </row>
    <row r="34" spans="1:7" x14ac:dyDescent="0.3">
      <c r="A34" s="59">
        <v>20</v>
      </c>
      <c r="B34" s="60">
        <v>865</v>
      </c>
      <c r="C34" s="37">
        <v>1730</v>
      </c>
      <c r="D34" s="37">
        <v>3460</v>
      </c>
      <c r="E34" s="36">
        <v>5536</v>
      </c>
      <c r="F34" s="37">
        <v>6055</v>
      </c>
      <c r="G34" s="38">
        <v>6920</v>
      </c>
    </row>
    <row r="35" spans="1:7" x14ac:dyDescent="0.3">
      <c r="A35" s="59">
        <v>21</v>
      </c>
      <c r="B35" s="60">
        <v>908</v>
      </c>
      <c r="C35" s="37">
        <v>1817</v>
      </c>
      <c r="D35" s="37">
        <v>3633</v>
      </c>
      <c r="E35" s="36">
        <v>5813</v>
      </c>
      <c r="F35" s="37">
        <v>6358</v>
      </c>
      <c r="G35" s="38">
        <v>7266</v>
      </c>
    </row>
    <row r="36" spans="1:7" x14ac:dyDescent="0.3">
      <c r="A36" s="59">
        <v>22</v>
      </c>
      <c r="B36" s="60">
        <v>952</v>
      </c>
      <c r="C36" s="37">
        <v>1903</v>
      </c>
      <c r="D36" s="37">
        <v>3806</v>
      </c>
      <c r="E36" s="36">
        <v>6090</v>
      </c>
      <c r="F36" s="37">
        <v>6661</v>
      </c>
      <c r="G36" s="38">
        <v>7612</v>
      </c>
    </row>
    <row r="37" spans="1:7" x14ac:dyDescent="0.3">
      <c r="A37" s="59">
        <v>23</v>
      </c>
      <c r="B37" s="60">
        <v>995</v>
      </c>
      <c r="C37" s="37">
        <v>1990</v>
      </c>
      <c r="D37" s="37">
        <v>3979</v>
      </c>
      <c r="E37" s="36">
        <v>6366</v>
      </c>
      <c r="F37" s="37">
        <v>6963</v>
      </c>
      <c r="G37" s="38">
        <v>7958</v>
      </c>
    </row>
    <row r="38" spans="1:7" ht="15" thickBot="1" x14ac:dyDescent="0.35">
      <c r="A38" s="137">
        <v>24</v>
      </c>
      <c r="B38" s="138">
        <v>1038</v>
      </c>
      <c r="C38" s="54">
        <v>2076</v>
      </c>
      <c r="D38" s="54">
        <v>4152</v>
      </c>
      <c r="E38" s="54">
        <v>6643</v>
      </c>
      <c r="F38" s="41">
        <v>7266</v>
      </c>
      <c r="G38" s="42">
        <v>8304</v>
      </c>
    </row>
  </sheetData>
  <mergeCells count="13">
    <mergeCell ref="B19:G19"/>
    <mergeCell ref="I9:J9"/>
    <mergeCell ref="I8:J8"/>
    <mergeCell ref="A4:G4"/>
    <mergeCell ref="I4:K4"/>
    <mergeCell ref="A5:B5"/>
    <mergeCell ref="C5:G5"/>
    <mergeCell ref="I5:J5"/>
    <mergeCell ref="A2:L2"/>
    <mergeCell ref="A1:L1"/>
    <mergeCell ref="I6:J6"/>
    <mergeCell ref="I7:J7"/>
    <mergeCell ref="A14:G14"/>
  </mergeCells>
  <pageMargins left="0.7" right="0.7" top="0.75" bottom="0.75" header="0.3" footer="0.3"/>
  <pageSetup scale="67" orientation="landscape" r:id="rId1"/>
  <extLst>
    <ext xmlns:x14="http://schemas.microsoft.com/office/spreadsheetml/2009/9/main" uri="{CCE6A557-97BC-4b89-ADB6-D9C93CAAB3DF}">
      <x14:dataValidations xmlns:xm="http://schemas.microsoft.com/office/excel/2006/main" xWindow="1184" yWindow="346" count="1">
        <x14:dataValidation type="list" allowBlank="1" showInputMessage="1" showErrorMessage="1" errorTitle="Invalid Entry" error="Please select a complexity level from the list." promptTitle="Complexity" prompt="Please select a complexity level from the list." xr:uid="{06D239CA-5A7F-4A54-9D50-17EBA34CE1D2}">
          <x14:formula1>
            <xm:f>Dropdowns!$A$2:$A$6</xm:f>
          </x14:formula1>
          <xm:sqref>K6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1A47-4B68-4B8F-AAD5-63AEEF26D27B}">
  <sheetPr>
    <tabColor theme="9" tint="0.79998168889431442"/>
  </sheetPr>
  <dimension ref="A1:M49"/>
  <sheetViews>
    <sheetView view="pageBreakPreview" zoomScaleNormal="100" zoomScaleSheetLayoutView="100" workbookViewId="0">
      <selection activeCell="F5" sqref="F5:F15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7" width="15.77734375" customWidth="1"/>
    <col min="13" max="13" width="9.21875" customWidth="1"/>
  </cols>
  <sheetData>
    <row r="1" spans="1:13" ht="15.6" x14ac:dyDescent="0.3">
      <c r="A1" s="145" t="s">
        <v>71</v>
      </c>
      <c r="B1" s="145"/>
      <c r="C1" s="145"/>
      <c r="D1" s="145"/>
      <c r="E1" s="145"/>
      <c r="F1" s="145"/>
      <c r="G1" s="145"/>
    </row>
    <row r="2" spans="1:13" x14ac:dyDescent="0.3">
      <c r="A2" s="144" t="s">
        <v>72</v>
      </c>
      <c r="B2" s="144"/>
      <c r="C2" s="144"/>
      <c r="D2" s="144"/>
      <c r="E2" s="144"/>
      <c r="F2" s="144"/>
      <c r="G2" s="144"/>
    </row>
    <row r="3" spans="1:13" x14ac:dyDescent="0.3">
      <c r="L3" s="65"/>
      <c r="M3" s="65"/>
    </row>
    <row r="4" spans="1:13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  <c r="J4" s="65"/>
      <c r="K4" s="67"/>
    </row>
    <row r="5" spans="1:13" x14ac:dyDescent="0.3">
      <c r="A5" s="6" t="s">
        <v>2</v>
      </c>
      <c r="B5" s="7">
        <v>141161</v>
      </c>
      <c r="C5" s="7">
        <v>872</v>
      </c>
      <c r="D5" s="8" t="s">
        <v>60</v>
      </c>
      <c r="E5" s="91">
        <f>B5/C5</f>
        <v>161.88188073394497</v>
      </c>
      <c r="F5" s="100" t="s">
        <v>67</v>
      </c>
      <c r="G5" s="91">
        <f>IF(F5="Yes",E5,"")</f>
        <v>161.88188073394497</v>
      </c>
      <c r="J5" s="65"/>
      <c r="M5" s="68"/>
    </row>
    <row r="6" spans="1:13" x14ac:dyDescent="0.3">
      <c r="A6" s="6" t="s">
        <v>3</v>
      </c>
      <c r="B6" s="7">
        <v>2209</v>
      </c>
      <c r="C6" s="7">
        <v>3.3</v>
      </c>
      <c r="D6" s="8" t="s">
        <v>60</v>
      </c>
      <c r="E6" s="91">
        <f t="shared" ref="E6:E15" si="0">B6/C6</f>
        <v>669.39393939393938</v>
      </c>
      <c r="F6" s="100"/>
      <c r="G6" s="91"/>
    </row>
    <row r="7" spans="1:13" x14ac:dyDescent="0.3">
      <c r="A7" s="6" t="s">
        <v>4</v>
      </c>
      <c r="B7" s="7">
        <v>4948</v>
      </c>
      <c r="C7" s="7">
        <v>16</v>
      </c>
      <c r="D7" s="8" t="s">
        <v>60</v>
      </c>
      <c r="E7" s="91">
        <f t="shared" si="0"/>
        <v>309.25</v>
      </c>
      <c r="F7" s="100"/>
      <c r="G7" s="91"/>
    </row>
    <row r="8" spans="1:13" x14ac:dyDescent="0.3">
      <c r="A8" s="6" t="s">
        <v>5</v>
      </c>
      <c r="B8" s="7">
        <v>122527</v>
      </c>
      <c r="C8" s="7">
        <v>104</v>
      </c>
      <c r="D8" s="8" t="s">
        <v>60</v>
      </c>
      <c r="E8" s="91">
        <f t="shared" si="0"/>
        <v>1178.1442307692307</v>
      </c>
      <c r="F8" s="100"/>
      <c r="G8" s="91"/>
    </row>
    <row r="9" spans="1:13" x14ac:dyDescent="0.3">
      <c r="A9" s="6" t="s">
        <v>9</v>
      </c>
      <c r="B9" s="7">
        <v>7420</v>
      </c>
      <c r="C9" s="7">
        <v>133</v>
      </c>
      <c r="D9" s="8" t="s">
        <v>60</v>
      </c>
      <c r="E9" s="91">
        <f t="shared" si="0"/>
        <v>55.789473684210527</v>
      </c>
      <c r="F9" s="100"/>
      <c r="G9" s="91"/>
    </row>
    <row r="10" spans="1:13" x14ac:dyDescent="0.3">
      <c r="A10" s="6" t="s">
        <v>10</v>
      </c>
      <c r="B10" s="7">
        <v>72738</v>
      </c>
      <c r="C10" s="7">
        <v>119</v>
      </c>
      <c r="D10" s="8" t="s">
        <v>60</v>
      </c>
      <c r="E10" s="91">
        <f t="shared" si="0"/>
        <v>611.24369747899163</v>
      </c>
      <c r="F10" s="100"/>
      <c r="G10" s="91"/>
    </row>
    <row r="11" spans="1:13" x14ac:dyDescent="0.3">
      <c r="A11" s="6" t="s">
        <v>6</v>
      </c>
      <c r="B11" s="7">
        <v>14493</v>
      </c>
      <c r="C11" s="7">
        <v>194</v>
      </c>
      <c r="D11" s="8" t="s">
        <v>60</v>
      </c>
      <c r="E11" s="91">
        <f t="shared" si="0"/>
        <v>74.706185567010309</v>
      </c>
      <c r="F11" s="100" t="s">
        <v>67</v>
      </c>
      <c r="G11" s="91">
        <f t="shared" ref="G11:G15" si="1">IF(F11="Yes",E11,"")</f>
        <v>74.706185567010309</v>
      </c>
    </row>
    <row r="12" spans="1:13" x14ac:dyDescent="0.3">
      <c r="A12" s="6" t="s">
        <v>7</v>
      </c>
      <c r="B12" s="7">
        <v>47947</v>
      </c>
      <c r="C12" s="7">
        <v>2171</v>
      </c>
      <c r="D12" s="8" t="s">
        <v>60</v>
      </c>
      <c r="E12" s="91">
        <f t="shared" si="0"/>
        <v>22.085214187010592</v>
      </c>
      <c r="F12" s="100" t="s">
        <v>67</v>
      </c>
      <c r="G12" s="91">
        <f t="shared" si="1"/>
        <v>22.085214187010592</v>
      </c>
    </row>
    <row r="13" spans="1:13" x14ac:dyDescent="0.3">
      <c r="A13" s="6" t="s">
        <v>8</v>
      </c>
      <c r="B13" s="7">
        <v>11503</v>
      </c>
      <c r="C13" s="7">
        <v>560</v>
      </c>
      <c r="D13" s="8" t="s">
        <v>60</v>
      </c>
      <c r="E13" s="91">
        <f t="shared" si="0"/>
        <v>20.541071428571428</v>
      </c>
      <c r="F13" s="100"/>
      <c r="G13" s="91"/>
    </row>
    <row r="14" spans="1:13" x14ac:dyDescent="0.3">
      <c r="A14" s="6" t="s">
        <v>14</v>
      </c>
      <c r="B14" s="7">
        <v>7787</v>
      </c>
      <c r="C14" s="7">
        <v>33</v>
      </c>
      <c r="D14" s="8" t="s">
        <v>60</v>
      </c>
      <c r="E14" s="91">
        <f t="shared" si="0"/>
        <v>235.96969696969697</v>
      </c>
      <c r="F14" s="100" t="s">
        <v>67</v>
      </c>
      <c r="G14" s="91">
        <f t="shared" si="1"/>
        <v>235.96969696969697</v>
      </c>
    </row>
    <row r="15" spans="1:13" x14ac:dyDescent="0.3">
      <c r="A15" s="6" t="s">
        <v>335</v>
      </c>
      <c r="B15" s="7">
        <v>11783</v>
      </c>
      <c r="C15" s="7">
        <v>193</v>
      </c>
      <c r="D15" s="8" t="s">
        <v>60</v>
      </c>
      <c r="E15" s="91">
        <f t="shared" si="0"/>
        <v>61.051813471502591</v>
      </c>
      <c r="F15" s="100" t="s">
        <v>67</v>
      </c>
      <c r="G15" s="91">
        <f t="shared" si="1"/>
        <v>61.051813471502591</v>
      </c>
    </row>
    <row r="16" spans="1:13" x14ac:dyDescent="0.3">
      <c r="A16" s="6"/>
      <c r="B16" s="7"/>
      <c r="C16" s="7"/>
      <c r="D16" s="8"/>
      <c r="E16" s="91"/>
      <c r="F16" s="100"/>
      <c r="G16" s="91"/>
    </row>
    <row r="17" spans="1:7" x14ac:dyDescent="0.3">
      <c r="A17" s="6"/>
      <c r="B17" s="7"/>
      <c r="C17" s="7"/>
      <c r="D17" s="8"/>
      <c r="E17" s="91"/>
      <c r="F17" s="100"/>
      <c r="G17" s="91"/>
    </row>
    <row r="18" spans="1:7" x14ac:dyDescent="0.3">
      <c r="A18" s="93" t="s">
        <v>340</v>
      </c>
      <c r="B18" s="94"/>
      <c r="C18" s="94">
        <f>B21</f>
        <v>121.5</v>
      </c>
      <c r="D18" s="95" t="s">
        <v>60</v>
      </c>
      <c r="E18" s="96">
        <f>IFERROR(E46*(B21^E47),0)</f>
        <v>148.26040560047213</v>
      </c>
      <c r="F18" s="97"/>
      <c r="G18" s="96">
        <f>IFERROR(F46*(B21^F47),0)</f>
        <v>117.28878131364355</v>
      </c>
    </row>
    <row r="20" spans="1:7" x14ac:dyDescent="0.3">
      <c r="A20" s="163" t="s">
        <v>70</v>
      </c>
      <c r="B20" s="163"/>
    </row>
    <row r="21" spans="1:7" x14ac:dyDescent="0.3">
      <c r="A21" s="6" t="s">
        <v>229</v>
      </c>
      <c r="B21" s="98">
        <f>'Summary - MH'!D6</f>
        <v>121.5</v>
      </c>
    </row>
    <row r="22" spans="1:7" x14ac:dyDescent="0.3">
      <c r="A22" s="6" t="s">
        <v>230</v>
      </c>
      <c r="B22" s="99">
        <f>B21*E18</f>
        <v>18013.639280457362</v>
      </c>
      <c r="C22" s="11"/>
    </row>
    <row r="23" spans="1:7" x14ac:dyDescent="0.3">
      <c r="A23" s="6" t="s">
        <v>231</v>
      </c>
      <c r="B23" s="99">
        <f>C18*G18</f>
        <v>14250.586929607693</v>
      </c>
      <c r="C23" s="11"/>
    </row>
    <row r="45" spans="2:11" x14ac:dyDescent="0.3">
      <c r="E45" s="65" t="s">
        <v>339</v>
      </c>
      <c r="F45" s="65" t="s">
        <v>65</v>
      </c>
    </row>
    <row r="46" spans="2:11" x14ac:dyDescent="0.3">
      <c r="B46" t="s">
        <v>337</v>
      </c>
      <c r="C46" s="12">
        <f>AVERAGE(E5:E15)</f>
        <v>309.0961094258281</v>
      </c>
      <c r="E46" s="67" cm="1">
        <f t="array" ref="E46">EXP(INDEX(LINEST(LN(E5:E15),LN(C5:C15),,),1,2))</f>
        <v>1665.9222133865158</v>
      </c>
      <c r="F46" s="67" cm="1">
        <f t="array" ref="F46">IFERROR(EXP(INDEX(LINEST(LN(_xlfn._xlws.FILTER(G5:G15, (C5:C15&gt;0)*(G5:G15&gt;0))), LN(_xlfn._xlws.FILTER(C5:C15, (C5:C15&gt;0)*(G5:G15&gt;0)))), 1, 2)),0)</f>
        <v>766.39699873066309</v>
      </c>
      <c r="G46" s="92"/>
    </row>
    <row r="47" spans="2:11" x14ac:dyDescent="0.3">
      <c r="B47" t="s">
        <v>338</v>
      </c>
      <c r="C47" s="12">
        <f>STDEV(E5:E15)</f>
        <v>367.37446539996125</v>
      </c>
      <c r="E47" s="67" cm="1">
        <f t="array" ref="E47">INDEX(LINEST(LN(E5:E15),LN(C5:C15),,),1)</f>
        <v>-0.50400148285741109</v>
      </c>
      <c r="F47" s="67" cm="1">
        <f t="array" ref="F47">IFERROR(INDEX(LINEST(LN(_xlfn._xlws.FILTER(G5:G15, (C5:C15&gt;0)*(G5:G15&gt;0))),LN(_xlfn._xlws.FILTER(C5:C15, (C5:C15&gt;0)*(G5:G15&gt;0)))),1),0)</f>
        <v>-0.39106140187381577</v>
      </c>
      <c r="J47" s="71"/>
      <c r="K47" s="71"/>
    </row>
    <row r="48" spans="2:11" x14ac:dyDescent="0.3">
      <c r="J48" s="69"/>
      <c r="K48" s="69"/>
    </row>
    <row r="49" spans="10:11" x14ac:dyDescent="0.3">
      <c r="J49" s="70"/>
      <c r="K49" s="70"/>
    </row>
  </sheetData>
  <mergeCells count="3">
    <mergeCell ref="A1:G1"/>
    <mergeCell ref="A2:G2"/>
    <mergeCell ref="A20:B20"/>
  </mergeCells>
  <pageMargins left="0.7" right="0.7" top="0.75" bottom="0.75" header="0.3" footer="0.3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FE7E-388C-4F52-AD31-96F2325B7EC0}">
  <sheetPr>
    <tabColor theme="9" tint="0.79998168889431442"/>
  </sheetPr>
  <dimension ref="A1:G47"/>
  <sheetViews>
    <sheetView view="pageBreakPreview" zoomScaleNormal="100" zoomScaleSheetLayoutView="100" workbookViewId="0">
      <selection activeCell="D10" sqref="D10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7" width="15.77734375" customWidth="1"/>
  </cols>
  <sheetData>
    <row r="1" spans="1:7" ht="15.6" x14ac:dyDescent="0.3">
      <c r="A1" s="145" t="s">
        <v>73</v>
      </c>
      <c r="B1" s="145"/>
      <c r="C1" s="145"/>
      <c r="D1" s="145"/>
      <c r="E1" s="145"/>
      <c r="F1" s="145"/>
      <c r="G1" s="145"/>
    </row>
    <row r="2" spans="1:7" x14ac:dyDescent="0.3">
      <c r="A2" s="144" t="s">
        <v>0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170668</v>
      </c>
      <c r="C5" s="7">
        <v>550674</v>
      </c>
      <c r="D5" s="8" t="s">
        <v>27</v>
      </c>
      <c r="E5" s="102">
        <f t="shared" ref="E5" si="0">B5/C5</f>
        <v>0.30992565474309663</v>
      </c>
      <c r="F5" s="100" t="s">
        <v>67</v>
      </c>
      <c r="G5" s="102">
        <f t="shared" ref="G5:G15" si="1">IF(F5="Yes",E5,"")</f>
        <v>0.30992565474309663</v>
      </c>
    </row>
    <row r="6" spans="1:7" x14ac:dyDescent="0.3">
      <c r="A6" s="6" t="s">
        <v>3</v>
      </c>
      <c r="B6" s="7">
        <v>3645</v>
      </c>
      <c r="C6" s="7">
        <v>1120</v>
      </c>
      <c r="D6" s="8" t="s">
        <v>27</v>
      </c>
      <c r="E6" s="102">
        <f t="shared" ref="E6:E15" si="2">B6/C6</f>
        <v>3.2544642857142856</v>
      </c>
      <c r="F6" s="100"/>
      <c r="G6" s="102"/>
    </row>
    <row r="7" spans="1:7" x14ac:dyDescent="0.3">
      <c r="A7" s="6" t="s">
        <v>4</v>
      </c>
      <c r="B7" s="7">
        <v>1050</v>
      </c>
      <c r="C7" s="7">
        <v>2300</v>
      </c>
      <c r="D7" s="8" t="s">
        <v>27</v>
      </c>
      <c r="E7" s="102">
        <f t="shared" si="2"/>
        <v>0.45652173913043476</v>
      </c>
      <c r="F7" s="100"/>
      <c r="G7" s="102"/>
    </row>
    <row r="8" spans="1:7" x14ac:dyDescent="0.3">
      <c r="A8" s="6" t="s">
        <v>5</v>
      </c>
      <c r="B8" s="7">
        <v>32305</v>
      </c>
      <c r="C8" s="7">
        <v>83559</v>
      </c>
      <c r="D8" s="8" t="s">
        <v>27</v>
      </c>
      <c r="E8" s="102">
        <f t="shared" si="2"/>
        <v>0.3866130518555751</v>
      </c>
      <c r="F8" s="100"/>
      <c r="G8" s="102"/>
    </row>
    <row r="9" spans="1:7" x14ac:dyDescent="0.3">
      <c r="A9" s="6" t="s">
        <v>9</v>
      </c>
      <c r="B9" s="7">
        <v>3500</v>
      </c>
      <c r="C9" s="7">
        <v>25667</v>
      </c>
      <c r="D9" s="8" t="s">
        <v>27</v>
      </c>
      <c r="E9" s="102">
        <f t="shared" si="2"/>
        <v>0.13636186543031908</v>
      </c>
      <c r="F9" s="100"/>
      <c r="G9" s="102"/>
    </row>
    <row r="10" spans="1:7" x14ac:dyDescent="0.3">
      <c r="A10" s="6" t="s">
        <v>10</v>
      </c>
      <c r="B10" s="7">
        <v>7873</v>
      </c>
      <c r="C10" s="7">
        <v>17105</v>
      </c>
      <c r="D10" s="8" t="s">
        <v>27</v>
      </c>
      <c r="E10" s="102">
        <f t="shared" si="2"/>
        <v>0.46027477345805318</v>
      </c>
      <c r="F10" s="100"/>
      <c r="G10" s="102"/>
    </row>
    <row r="11" spans="1:7" x14ac:dyDescent="0.3">
      <c r="A11" s="6" t="s">
        <v>6</v>
      </c>
      <c r="B11" s="7">
        <v>11263</v>
      </c>
      <c r="C11" s="7">
        <v>48206</v>
      </c>
      <c r="D11" s="8" t="s">
        <v>27</v>
      </c>
      <c r="E11" s="102">
        <f t="shared" si="2"/>
        <v>0.23364311496494211</v>
      </c>
      <c r="F11" s="100" t="s">
        <v>67</v>
      </c>
      <c r="G11" s="102">
        <f t="shared" si="1"/>
        <v>0.23364311496494211</v>
      </c>
    </row>
    <row r="12" spans="1:7" x14ac:dyDescent="0.3">
      <c r="A12" s="6" t="s">
        <v>7</v>
      </c>
      <c r="B12" s="7">
        <v>13867</v>
      </c>
      <c r="C12" s="7">
        <v>325987</v>
      </c>
      <c r="D12" s="8" t="s">
        <v>27</v>
      </c>
      <c r="E12" s="102">
        <f t="shared" si="2"/>
        <v>4.2538506136747783E-2</v>
      </c>
      <c r="F12" s="100" t="s">
        <v>67</v>
      </c>
      <c r="G12" s="102">
        <f t="shared" si="1"/>
        <v>4.2538506136747783E-2</v>
      </c>
    </row>
    <row r="13" spans="1:7" x14ac:dyDescent="0.3">
      <c r="A13" s="6" t="s">
        <v>8</v>
      </c>
      <c r="B13" s="7">
        <v>72414</v>
      </c>
      <c r="C13" s="7">
        <v>547047</v>
      </c>
      <c r="D13" s="8" t="s">
        <v>27</v>
      </c>
      <c r="E13" s="102">
        <f t="shared" si="2"/>
        <v>0.13237253837421648</v>
      </c>
      <c r="F13" s="100"/>
      <c r="G13" s="102"/>
    </row>
    <row r="14" spans="1:7" x14ac:dyDescent="0.3">
      <c r="A14" s="6" t="s">
        <v>14</v>
      </c>
      <c r="B14" s="7">
        <v>7364</v>
      </c>
      <c r="C14" s="7">
        <v>107830</v>
      </c>
      <c r="D14" s="8" t="s">
        <v>27</v>
      </c>
      <c r="E14" s="102">
        <f t="shared" si="2"/>
        <v>6.8292682926829273E-2</v>
      </c>
      <c r="F14" s="100" t="s">
        <v>67</v>
      </c>
      <c r="G14" s="102">
        <f t="shared" si="1"/>
        <v>6.8292682926829273E-2</v>
      </c>
    </row>
    <row r="15" spans="1:7" x14ac:dyDescent="0.3">
      <c r="A15" s="6" t="s">
        <v>335</v>
      </c>
      <c r="B15" s="7">
        <v>25407</v>
      </c>
      <c r="C15" s="7">
        <v>51920</v>
      </c>
      <c r="D15" s="8" t="s">
        <v>27</v>
      </c>
      <c r="E15" s="102">
        <f t="shared" si="2"/>
        <v>0.48934899845916796</v>
      </c>
      <c r="F15" s="100" t="s">
        <v>67</v>
      </c>
      <c r="G15" s="102">
        <f t="shared" si="1"/>
        <v>0.48934899845916796</v>
      </c>
    </row>
    <row r="16" spans="1:7" x14ac:dyDescent="0.3">
      <c r="A16" s="6"/>
      <c r="B16" s="7"/>
      <c r="C16" s="7"/>
      <c r="D16" s="8"/>
      <c r="E16" s="102"/>
      <c r="F16" s="100"/>
      <c r="G16" s="102"/>
    </row>
    <row r="17" spans="1:7" x14ac:dyDescent="0.3">
      <c r="A17" s="6"/>
      <c r="B17" s="7"/>
      <c r="C17" s="7"/>
      <c r="D17" s="8"/>
      <c r="E17" s="102"/>
      <c r="F17" s="100"/>
      <c r="G17" s="102"/>
    </row>
    <row r="18" spans="1:7" x14ac:dyDescent="0.3">
      <c r="A18" s="93" t="s">
        <v>340</v>
      </c>
      <c r="B18" s="94"/>
      <c r="C18" s="94">
        <f>B21</f>
        <v>34910</v>
      </c>
      <c r="D18" s="95" t="s">
        <v>27</v>
      </c>
      <c r="E18" s="101">
        <f>IFERROR(E46*(B21^E47),0)</f>
        <v>0.30161937654951487</v>
      </c>
      <c r="F18" s="97"/>
      <c r="G18" s="101">
        <f>IFERROR(F46*(B21^F47),0)</f>
        <v>0.24530036249148596</v>
      </c>
    </row>
    <row r="20" spans="1:7" x14ac:dyDescent="0.3">
      <c r="A20" s="163" t="s">
        <v>70</v>
      </c>
      <c r="B20" s="163"/>
    </row>
    <row r="21" spans="1:7" x14ac:dyDescent="0.3">
      <c r="A21" s="6" t="s">
        <v>229</v>
      </c>
      <c r="B21" s="98">
        <f>'Summary - MH'!D8</f>
        <v>34910</v>
      </c>
    </row>
    <row r="22" spans="1:7" x14ac:dyDescent="0.3">
      <c r="A22" s="6" t="s">
        <v>230</v>
      </c>
      <c r="B22" s="99">
        <f>B21*E18</f>
        <v>10529.532435343564</v>
      </c>
    </row>
    <row r="23" spans="1:7" x14ac:dyDescent="0.3">
      <c r="A23" s="6" t="s">
        <v>231</v>
      </c>
      <c r="B23" s="99">
        <f>C18*G18</f>
        <v>8563.4356545777755</v>
      </c>
    </row>
    <row r="45" spans="2:6" x14ac:dyDescent="0.3">
      <c r="E45" s="65" t="s">
        <v>339</v>
      </c>
      <c r="F45" s="65" t="s">
        <v>65</v>
      </c>
    </row>
    <row r="46" spans="2:6" x14ac:dyDescent="0.3">
      <c r="B46" t="s">
        <v>337</v>
      </c>
      <c r="C46" s="12">
        <f>AVERAGE(E5:E15)</f>
        <v>0.54275974647215175</v>
      </c>
      <c r="E46" s="67" cm="1">
        <f t="array" ref="E46">EXP(INDEX(LINEST(LN(E5:E15),LN(C5:C15),,),1,2))</f>
        <v>21.656292275103883</v>
      </c>
      <c r="F46" s="67" cm="1">
        <f t="array" ref="F46">IFERROR(EXP(INDEX(LINEST(LN(_xlfn._xlws.FILTER(G5:G15, (C5:C15&gt;0)*(G5:G15&gt;0))), LN(_xlfn._xlws.FILTER(C5:C15, (C5:C15&gt;0)*(G5:G15&gt;0)))), 1, 2)),0)</f>
        <v>6.6224672098648467</v>
      </c>
    </row>
    <row r="47" spans="2:6" x14ac:dyDescent="0.3">
      <c r="B47" t="s">
        <v>338</v>
      </c>
      <c r="C47" s="12">
        <f>STDEV(E5:E15)</f>
        <v>0.91397476765916053</v>
      </c>
      <c r="E47" s="67" cm="1">
        <f t="array" ref="E47">INDEX(LINEST(LN(E5:E15),LN(C5:C15),,),1)</f>
        <v>-0.40857260765035547</v>
      </c>
      <c r="F47" s="67" cm="1">
        <f t="array" ref="F47">IFERROR(INDEX(LINEST(LN(_xlfn._xlws.FILTER(G5:G15, (C5:C15&gt;0)*(G5:G15&gt;0))),LN(_xlfn._xlws.FILTER(C5:C15, (C5:C15&gt;0)*(G5:G15&gt;0)))),1),0)</f>
        <v>-0.31506436880914535</v>
      </c>
    </row>
  </sheetData>
  <mergeCells count="3">
    <mergeCell ref="A1:G1"/>
    <mergeCell ref="A2:G2"/>
    <mergeCell ref="A20:B20"/>
  </mergeCells>
  <pageMargins left="0.7" right="0.7" top="0.75" bottom="0.75" header="0.3" footer="0.3"/>
  <pageSetup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F7CA-DBD4-44F5-B5E8-76522F4C309A}">
  <sheetPr>
    <tabColor theme="9" tint="0.79998168889431442"/>
  </sheetPr>
  <dimension ref="A1:G50"/>
  <sheetViews>
    <sheetView view="pageBreakPreview" topLeftCell="A3" zoomScaleNormal="100" zoomScaleSheetLayoutView="100" workbookViewId="0">
      <selection activeCell="F18" sqref="F18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69</v>
      </c>
      <c r="B1" s="145"/>
      <c r="C1" s="145"/>
      <c r="D1" s="145"/>
      <c r="E1" s="145"/>
      <c r="F1" s="145"/>
      <c r="G1" s="145"/>
    </row>
    <row r="2" spans="1:7" x14ac:dyDescent="0.3">
      <c r="A2" s="144" t="s">
        <v>0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133332</v>
      </c>
      <c r="C5" s="7">
        <v>550674</v>
      </c>
      <c r="D5" s="8" t="s">
        <v>27</v>
      </c>
      <c r="E5" s="9">
        <f>B5/C5</f>
        <v>0.24212510487148475</v>
      </c>
      <c r="F5" s="100" t="s">
        <v>67</v>
      </c>
      <c r="G5" s="9">
        <f>IF(F5="Yes",E5,"")</f>
        <v>0.24212510487148475</v>
      </c>
    </row>
    <row r="6" spans="1:7" x14ac:dyDescent="0.3">
      <c r="A6" s="6" t="s">
        <v>3</v>
      </c>
      <c r="B6" s="7">
        <v>4556</v>
      </c>
      <c r="C6" s="7">
        <v>1120</v>
      </c>
      <c r="D6" s="8" t="s">
        <v>27</v>
      </c>
      <c r="E6" s="9">
        <f t="shared" ref="E6:E18" si="0">B6/C6</f>
        <v>4.0678571428571431</v>
      </c>
      <c r="F6" s="100"/>
      <c r="G6" s="9"/>
    </row>
    <row r="7" spans="1:7" x14ac:dyDescent="0.3">
      <c r="A7" s="6" t="s">
        <v>4</v>
      </c>
      <c r="B7" s="7">
        <v>6097</v>
      </c>
      <c r="C7" s="7">
        <v>2300</v>
      </c>
      <c r="D7" s="8" t="s">
        <v>27</v>
      </c>
      <c r="E7" s="9">
        <f t="shared" si="0"/>
        <v>2.6508695652173913</v>
      </c>
      <c r="F7" s="100"/>
      <c r="G7" s="9"/>
    </row>
    <row r="8" spans="1:7" x14ac:dyDescent="0.3">
      <c r="A8" s="6" t="s">
        <v>5</v>
      </c>
      <c r="B8" s="7">
        <v>74720</v>
      </c>
      <c r="C8" s="7">
        <v>165248</v>
      </c>
      <c r="D8" s="8" t="s">
        <v>27</v>
      </c>
      <c r="E8" s="9">
        <f t="shared" si="0"/>
        <v>0.45216886134779238</v>
      </c>
      <c r="F8" s="100"/>
      <c r="G8" s="9"/>
    </row>
    <row r="9" spans="1:7" x14ac:dyDescent="0.3">
      <c r="A9" s="6" t="s">
        <v>9</v>
      </c>
      <c r="B9" s="7">
        <v>13279</v>
      </c>
      <c r="C9" s="7">
        <v>180566</v>
      </c>
      <c r="D9" s="8" t="s">
        <v>27</v>
      </c>
      <c r="E9" s="9">
        <f t="shared" si="0"/>
        <v>7.3540976706578207E-2</v>
      </c>
      <c r="F9" s="100"/>
      <c r="G9" s="9"/>
    </row>
    <row r="10" spans="1:7" x14ac:dyDescent="0.3">
      <c r="A10" s="6" t="s">
        <v>10</v>
      </c>
      <c r="B10" s="7">
        <v>58164</v>
      </c>
      <c r="C10" s="7">
        <v>120338</v>
      </c>
      <c r="D10" s="8" t="s">
        <v>27</v>
      </c>
      <c r="E10" s="9">
        <f t="shared" si="0"/>
        <v>0.48333859628712461</v>
      </c>
      <c r="F10" s="100"/>
      <c r="G10" s="9"/>
    </row>
    <row r="11" spans="1:7" x14ac:dyDescent="0.3">
      <c r="A11" s="6" t="s">
        <v>6</v>
      </c>
      <c r="B11" s="7">
        <v>24245</v>
      </c>
      <c r="C11" s="7">
        <v>48206</v>
      </c>
      <c r="D11" s="8" t="s">
        <v>27</v>
      </c>
      <c r="E11" s="9">
        <f t="shared" si="0"/>
        <v>0.50294569140770862</v>
      </c>
      <c r="F11" s="100" t="s">
        <v>67</v>
      </c>
      <c r="G11" s="9">
        <f t="shared" ref="G11:G18" si="1">IF(F11="Yes",E11,"")</f>
        <v>0.50294569140770862</v>
      </c>
    </row>
    <row r="12" spans="1:7" x14ac:dyDescent="0.3">
      <c r="A12" s="6" t="s">
        <v>7</v>
      </c>
      <c r="B12" s="7">
        <v>53211</v>
      </c>
      <c r="C12" s="7">
        <v>325987</v>
      </c>
      <c r="D12" s="8" t="s">
        <v>27</v>
      </c>
      <c r="E12" s="9">
        <f t="shared" si="0"/>
        <v>0.16323043556951658</v>
      </c>
      <c r="F12" s="100" t="s">
        <v>67</v>
      </c>
      <c r="G12" s="9">
        <f t="shared" si="1"/>
        <v>0.16323043556951658</v>
      </c>
    </row>
    <row r="13" spans="1:7" x14ac:dyDescent="0.3">
      <c r="A13" s="6" t="s">
        <v>8</v>
      </c>
      <c r="B13" s="7">
        <v>192084</v>
      </c>
      <c r="C13" s="7">
        <v>556235</v>
      </c>
      <c r="D13" s="8" t="s">
        <v>27</v>
      </c>
      <c r="E13" s="9">
        <f t="shared" si="0"/>
        <v>0.34532886280079461</v>
      </c>
      <c r="F13" s="100"/>
      <c r="G13" s="9"/>
    </row>
    <row r="14" spans="1:7" x14ac:dyDescent="0.3">
      <c r="A14" s="6" t="s">
        <v>11</v>
      </c>
      <c r="B14" s="7">
        <v>547</v>
      </c>
      <c r="C14" s="7">
        <v>2807</v>
      </c>
      <c r="D14" s="8" t="s">
        <v>27</v>
      </c>
      <c r="E14" s="9">
        <f t="shared" si="0"/>
        <v>0.1948699679372996</v>
      </c>
      <c r="F14" s="100"/>
      <c r="G14" s="9"/>
    </row>
    <row r="15" spans="1:7" x14ac:dyDescent="0.3">
      <c r="A15" s="6" t="s">
        <v>12</v>
      </c>
      <c r="B15" s="7">
        <v>40907</v>
      </c>
      <c r="C15" s="7">
        <v>57768</v>
      </c>
      <c r="D15" s="8" t="s">
        <v>27</v>
      </c>
      <c r="E15" s="9">
        <f t="shared" si="0"/>
        <v>0.70812560587176288</v>
      </c>
      <c r="F15" s="100" t="s">
        <v>67</v>
      </c>
      <c r="G15" s="9">
        <f t="shared" si="1"/>
        <v>0.70812560587176288</v>
      </c>
    </row>
    <row r="16" spans="1:7" x14ac:dyDescent="0.3">
      <c r="A16" s="6" t="s">
        <v>13</v>
      </c>
      <c r="B16" s="7">
        <v>3410</v>
      </c>
      <c r="C16" s="7">
        <v>23450</v>
      </c>
      <c r="D16" s="8" t="s">
        <v>27</v>
      </c>
      <c r="E16" s="9">
        <f t="shared" si="0"/>
        <v>0.14541577825159915</v>
      </c>
      <c r="F16" s="100"/>
      <c r="G16" s="9"/>
    </row>
    <row r="17" spans="1:7" x14ac:dyDescent="0.3">
      <c r="A17" s="6" t="s">
        <v>14</v>
      </c>
      <c r="B17" s="7">
        <v>21330</v>
      </c>
      <c r="C17" s="7">
        <v>102183</v>
      </c>
      <c r="D17" s="8" t="s">
        <v>27</v>
      </c>
      <c r="E17" s="9">
        <f t="shared" si="0"/>
        <v>0.2087431373124688</v>
      </c>
      <c r="F17" s="100" t="s">
        <v>67</v>
      </c>
      <c r="G17" s="9">
        <f t="shared" si="1"/>
        <v>0.2087431373124688</v>
      </c>
    </row>
    <row r="18" spans="1:7" x14ac:dyDescent="0.3">
      <c r="A18" s="6" t="s">
        <v>335</v>
      </c>
      <c r="B18" s="7">
        <v>26964</v>
      </c>
      <c r="C18" s="7">
        <v>51920</v>
      </c>
      <c r="D18" s="8" t="s">
        <v>27</v>
      </c>
      <c r="E18" s="9">
        <f t="shared" si="0"/>
        <v>0.51933744221879818</v>
      </c>
      <c r="F18" s="100" t="s">
        <v>67</v>
      </c>
      <c r="G18" s="9">
        <f t="shared" si="1"/>
        <v>0.51933744221879818</v>
      </c>
    </row>
    <row r="19" spans="1:7" x14ac:dyDescent="0.3">
      <c r="A19" s="6"/>
      <c r="B19" s="7"/>
      <c r="C19" s="7"/>
      <c r="D19" s="8"/>
      <c r="E19" s="9"/>
      <c r="F19" s="100"/>
      <c r="G19" s="9"/>
    </row>
    <row r="20" spans="1:7" x14ac:dyDescent="0.3">
      <c r="A20" s="6"/>
      <c r="B20" s="7"/>
      <c r="C20" s="7"/>
      <c r="D20" s="8"/>
      <c r="E20" s="9"/>
      <c r="F20" s="100"/>
      <c r="G20" s="9"/>
    </row>
    <row r="21" spans="1:7" x14ac:dyDescent="0.3">
      <c r="A21" s="93" t="s">
        <v>340</v>
      </c>
      <c r="B21" s="94"/>
      <c r="C21" s="94">
        <f>B24</f>
        <v>34910</v>
      </c>
      <c r="D21" s="95" t="s">
        <v>27</v>
      </c>
      <c r="E21" s="96">
        <f>IFERROR(E49*(B24^E50),0)</f>
        <v>0.45342434246877028</v>
      </c>
      <c r="F21" s="97"/>
      <c r="G21" s="96">
        <f>IFERROR(F49*(B24^F50),0)</f>
        <v>0.58426654328709404</v>
      </c>
    </row>
    <row r="23" spans="1:7" x14ac:dyDescent="0.3">
      <c r="A23" s="163" t="s">
        <v>70</v>
      </c>
      <c r="B23" s="163"/>
    </row>
    <row r="24" spans="1:7" x14ac:dyDescent="0.3">
      <c r="A24" s="6" t="s">
        <v>229</v>
      </c>
      <c r="B24" s="103">
        <f>'Summary - MH'!D9</f>
        <v>34910</v>
      </c>
    </row>
    <row r="25" spans="1:7" x14ac:dyDescent="0.3">
      <c r="A25" s="6" t="s">
        <v>230</v>
      </c>
      <c r="B25" s="99">
        <f>B24*E21</f>
        <v>15829.04379558477</v>
      </c>
      <c r="C25" s="12"/>
    </row>
    <row r="26" spans="1:7" x14ac:dyDescent="0.3">
      <c r="A26" s="6" t="s">
        <v>231</v>
      </c>
      <c r="B26" s="99">
        <f>C21*G21</f>
        <v>20396.745026152454</v>
      </c>
      <c r="C26" s="12"/>
    </row>
    <row r="48" spans="5:6" x14ac:dyDescent="0.3">
      <c r="E48" s="65" t="s">
        <v>339</v>
      </c>
      <c r="F48" s="65" t="s">
        <v>65</v>
      </c>
    </row>
    <row r="49" spans="2:6" x14ac:dyDescent="0.3">
      <c r="B49" t="s">
        <v>337</v>
      </c>
      <c r="C49" s="12">
        <f>AVERAGE(E5:E18)</f>
        <v>0.76842122633267596</v>
      </c>
      <c r="E49" s="67" cm="1">
        <f t="array" ref="E49">EXP(INDEX(LINEST(LN(E5:E18),LN(C5:C18),,),1,2))</f>
        <v>14.434495957943314</v>
      </c>
      <c r="F49" s="67" cm="1">
        <f t="array" ref="F49">IFERROR(EXP(INDEX(LINEST(LN(_xlfn._xlws.FILTER(G5:G18, (C5:C18&gt;0)*(G5:G18&gt;0))), LN(_xlfn._xlws.FILTER(C5:C18, (C5:C18&gt;0)*(G5:G18&gt;0)))), 1, 2)),0)</f>
        <v>62.908557777472765</v>
      </c>
    </row>
    <row r="50" spans="2:6" x14ac:dyDescent="0.3">
      <c r="B50" t="s">
        <v>338</v>
      </c>
      <c r="C50" s="12">
        <f>STDEV(E5:E18)</f>
        <v>1.1463244922828062</v>
      </c>
      <c r="E50" s="67" cm="1">
        <f t="array" ref="E50">INDEX(LINEST(LN(E5:E18),LN(C5:C18),,),1)</f>
        <v>-0.33081958669327088</v>
      </c>
      <c r="F50" s="67" cm="1">
        <f t="array" ref="F50">IFERROR(INDEX(LINEST(LN(_xlfn._xlws.FILTER(G5:G18, (C5:C18&gt;0)*(G5:G18&gt;0))),LN(_xlfn._xlws.FILTER(C5:C18, (C5:C18&gt;0)*(G5:G18&gt;0)))),1),0)</f>
        <v>-0.44730819804292676</v>
      </c>
    </row>
  </sheetData>
  <mergeCells count="3">
    <mergeCell ref="A2:G2"/>
    <mergeCell ref="A1:G1"/>
    <mergeCell ref="A23:B23"/>
  </mergeCells>
  <pageMargins left="0.7" right="0.7" top="0.75" bottom="0.75" header="0.3" footer="0.3"/>
  <pageSetup scale="73" orientation="portrait" r:id="rId1"/>
  <colBreaks count="1" manualBreakCount="1">
    <brk id="7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647B4-9A2C-4985-9CE6-D12F1FE604B3}">
  <sheetPr>
    <tabColor theme="9" tint="0.79998168889431442"/>
  </sheetPr>
  <dimension ref="A1:G45"/>
  <sheetViews>
    <sheetView view="pageBreakPreview" zoomScaleNormal="100" zoomScaleSheetLayoutView="100" workbookViewId="0">
      <selection activeCell="C9" sqref="C9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74</v>
      </c>
      <c r="B1" s="145"/>
      <c r="C1" s="145"/>
      <c r="D1" s="145"/>
      <c r="E1" s="145"/>
      <c r="F1" s="145"/>
      <c r="G1" s="145"/>
    </row>
    <row r="2" spans="1:7" x14ac:dyDescent="0.3">
      <c r="A2" s="144" t="s">
        <v>0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43833</v>
      </c>
      <c r="C5" s="7">
        <v>550674</v>
      </c>
      <c r="D5" s="8" t="s">
        <v>27</v>
      </c>
      <c r="E5" s="102">
        <f>B5/C5</f>
        <v>7.9598818901927451E-2</v>
      </c>
      <c r="F5" s="100" t="s">
        <v>67</v>
      </c>
      <c r="G5" s="102">
        <f>IF(F5="Yes",E5,"")</f>
        <v>7.9598818901927451E-2</v>
      </c>
    </row>
    <row r="6" spans="1:7" x14ac:dyDescent="0.3">
      <c r="A6" s="6" t="s">
        <v>5</v>
      </c>
      <c r="B6" s="7">
        <v>42037</v>
      </c>
      <c r="C6" s="7">
        <v>83559</v>
      </c>
      <c r="D6" s="8" t="s">
        <v>27</v>
      </c>
      <c r="E6" s="102">
        <f t="shared" ref="E6:E13" si="0">B6/C6</f>
        <v>0.5030816548785888</v>
      </c>
      <c r="F6" s="100"/>
      <c r="G6" s="102"/>
    </row>
    <row r="7" spans="1:7" x14ac:dyDescent="0.3">
      <c r="A7" s="6" t="s">
        <v>9</v>
      </c>
      <c r="B7" s="7">
        <v>4284</v>
      </c>
      <c r="C7" s="7">
        <v>25667</v>
      </c>
      <c r="D7" s="8" t="s">
        <v>27</v>
      </c>
      <c r="E7" s="102">
        <f t="shared" si="0"/>
        <v>0.16690692328671056</v>
      </c>
      <c r="F7" s="100"/>
      <c r="G7" s="102"/>
    </row>
    <row r="8" spans="1:7" x14ac:dyDescent="0.3">
      <c r="A8" s="6" t="s">
        <v>10</v>
      </c>
      <c r="B8" s="7">
        <v>12410</v>
      </c>
      <c r="C8" s="7">
        <v>17105</v>
      </c>
      <c r="D8" s="8" t="s">
        <v>27</v>
      </c>
      <c r="E8" s="102">
        <f t="shared" si="0"/>
        <v>0.72551885413621753</v>
      </c>
      <c r="F8" s="100"/>
      <c r="G8" s="102"/>
    </row>
    <row r="9" spans="1:7" x14ac:dyDescent="0.3">
      <c r="A9" s="6" t="s">
        <v>6</v>
      </c>
      <c r="B9" s="7">
        <v>27602</v>
      </c>
      <c r="C9" s="7">
        <v>48206</v>
      </c>
      <c r="D9" s="8" t="s">
        <v>27</v>
      </c>
      <c r="E9" s="102">
        <f t="shared" si="0"/>
        <v>0.57258432560262207</v>
      </c>
      <c r="F9" s="100" t="s">
        <v>67</v>
      </c>
      <c r="G9" s="102">
        <f t="shared" ref="G9:G13" si="1">IF(F9="Yes",E9,"")</f>
        <v>0.57258432560262207</v>
      </c>
    </row>
    <row r="10" spans="1:7" x14ac:dyDescent="0.3">
      <c r="A10" s="6" t="s">
        <v>7</v>
      </c>
      <c r="B10" s="7">
        <v>12223</v>
      </c>
      <c r="C10" s="7">
        <v>325987</v>
      </c>
      <c r="D10" s="8" t="s">
        <v>27</v>
      </c>
      <c r="E10" s="102">
        <f t="shared" si="0"/>
        <v>3.7495360244426922E-2</v>
      </c>
      <c r="F10" s="100" t="s">
        <v>67</v>
      </c>
      <c r="G10" s="102">
        <f t="shared" si="1"/>
        <v>3.7495360244426922E-2</v>
      </c>
    </row>
    <row r="11" spans="1:7" x14ac:dyDescent="0.3">
      <c r="A11" s="6" t="s">
        <v>12</v>
      </c>
      <c r="B11" s="7">
        <v>18882</v>
      </c>
      <c r="C11" s="7">
        <v>57768</v>
      </c>
      <c r="D11" s="8" t="s">
        <v>27</v>
      </c>
      <c r="E11" s="102">
        <f t="shared" si="0"/>
        <v>0.32685916078105526</v>
      </c>
      <c r="F11" s="100" t="s">
        <v>67</v>
      </c>
      <c r="G11" s="102">
        <f t="shared" si="1"/>
        <v>0.32685916078105526</v>
      </c>
    </row>
    <row r="12" spans="1:7" x14ac:dyDescent="0.3">
      <c r="A12" s="6" t="s">
        <v>14</v>
      </c>
      <c r="B12" s="7">
        <v>1803</v>
      </c>
      <c r="C12" s="7">
        <v>102183</v>
      </c>
      <c r="D12" s="8" t="s">
        <v>27</v>
      </c>
      <c r="E12" s="102">
        <f t="shared" si="0"/>
        <v>1.7644813716567335E-2</v>
      </c>
      <c r="F12" s="100" t="s">
        <v>67</v>
      </c>
      <c r="G12" s="102">
        <f t="shared" si="1"/>
        <v>1.7644813716567335E-2</v>
      </c>
    </row>
    <row r="13" spans="1:7" x14ac:dyDescent="0.3">
      <c r="A13" s="6" t="s">
        <v>335</v>
      </c>
      <c r="B13" s="7">
        <v>5649</v>
      </c>
      <c r="C13" s="7">
        <v>51920</v>
      </c>
      <c r="D13" s="8" t="s">
        <v>27</v>
      </c>
      <c r="E13" s="102">
        <f t="shared" si="0"/>
        <v>0.1088020030816641</v>
      </c>
      <c r="F13" s="100" t="s">
        <v>67</v>
      </c>
      <c r="G13" s="102">
        <f t="shared" si="1"/>
        <v>0.1088020030816641</v>
      </c>
    </row>
    <row r="14" spans="1:7" x14ac:dyDescent="0.3">
      <c r="A14" s="6"/>
      <c r="B14" s="7"/>
      <c r="C14" s="7"/>
      <c r="D14" s="8"/>
      <c r="E14" s="102"/>
      <c r="F14" s="100"/>
      <c r="G14" s="102"/>
    </row>
    <row r="15" spans="1:7" x14ac:dyDescent="0.3">
      <c r="A15" s="6"/>
      <c r="B15" s="7"/>
      <c r="C15" s="7"/>
      <c r="D15" s="8"/>
      <c r="E15" s="102"/>
      <c r="F15" s="100"/>
      <c r="G15" s="102"/>
    </row>
    <row r="16" spans="1:7" x14ac:dyDescent="0.3">
      <c r="A16" s="93" t="s">
        <v>340</v>
      </c>
      <c r="B16" s="94"/>
      <c r="C16" s="94">
        <f>B19</f>
        <v>34910</v>
      </c>
      <c r="D16" s="95" t="s">
        <v>27</v>
      </c>
      <c r="E16" s="101">
        <f>IFERROR(E44*(B19^E45),0)</f>
        <v>0.27708945643016969</v>
      </c>
      <c r="F16" s="97"/>
      <c r="G16" s="101">
        <f>IFERROR(F44*(B19^F45),0)</f>
        <v>0.225781741323825</v>
      </c>
    </row>
    <row r="18" spans="1:3" x14ac:dyDescent="0.3">
      <c r="A18" s="163" t="s">
        <v>70</v>
      </c>
      <c r="B18" s="163"/>
    </row>
    <row r="19" spans="1:3" x14ac:dyDescent="0.3">
      <c r="A19" s="6" t="s">
        <v>229</v>
      </c>
      <c r="B19" s="103">
        <f>'Summary - MH'!D10</f>
        <v>34910</v>
      </c>
    </row>
    <row r="20" spans="1:3" x14ac:dyDescent="0.3">
      <c r="A20" s="6" t="s">
        <v>230</v>
      </c>
      <c r="B20" s="99">
        <f>B19*E16</f>
        <v>9673.1929239772235</v>
      </c>
      <c r="C20" s="11"/>
    </row>
    <row r="21" spans="1:3" x14ac:dyDescent="0.3">
      <c r="A21" s="6" t="s">
        <v>231</v>
      </c>
      <c r="B21" s="99">
        <f>C16*G16</f>
        <v>7882.0405896147313</v>
      </c>
      <c r="C21" s="11"/>
    </row>
    <row r="43" spans="2:6" x14ac:dyDescent="0.3">
      <c r="E43" s="65" t="s">
        <v>339</v>
      </c>
      <c r="F43" s="65" t="s">
        <v>65</v>
      </c>
    </row>
    <row r="44" spans="2:6" x14ac:dyDescent="0.3">
      <c r="B44" t="s">
        <v>337</v>
      </c>
      <c r="C44" s="12">
        <f>AVERAGE(E5:E13)</f>
        <v>0.28205465718108669</v>
      </c>
      <c r="E44" s="67" cm="1">
        <f t="array" ref="E44">EXP(INDEX(LINEST(LN(E5:E13),LN(C5:C13),,),1,2))</f>
        <v>415.796142639577</v>
      </c>
      <c r="F44" s="67" cm="1">
        <f t="array" ref="F44">IFERROR(EXP(INDEX(LINEST(LN(_xlfn._xlws.FILTER(G5:G13, (C5:C13&gt;0)*(G5:G13&gt;0))), LN(_xlfn._xlws.FILTER(C5:C13, (C5:C13&gt;0)*(G5:G13&gt;0)))), 1, 2)),0)</f>
        <v>226.64150468416597</v>
      </c>
    </row>
    <row r="45" spans="2:6" x14ac:dyDescent="0.3">
      <c r="B45" t="s">
        <v>338</v>
      </c>
      <c r="C45" s="12">
        <f>STDEV(E5:E13)</f>
        <v>0.26122644002237405</v>
      </c>
      <c r="E45" s="67" cm="1">
        <f t="array" ref="E45">INDEX(LINEST(LN(E5:E13),LN(C5:C13),,),1)</f>
        <v>-0.69916256200286708</v>
      </c>
      <c r="F45" s="67" cm="1">
        <f t="array" ref="F45">IFERROR(INDEX(LINEST(LN(_xlfn._xlws.FILTER(G5:G13, (C5:C13&gt;0)*(G5:G13&gt;0))),LN(_xlfn._xlws.FILTER(C5:C13, (C5:C13&gt;0)*(G5:G13&gt;0)))),1),0)</f>
        <v>-0.66072722053705768</v>
      </c>
    </row>
  </sheetData>
  <mergeCells count="3">
    <mergeCell ref="A1:G1"/>
    <mergeCell ref="A2:G2"/>
    <mergeCell ref="A18:B18"/>
  </mergeCells>
  <pageMargins left="0.7" right="0.7" top="0.75" bottom="0.75" header="0.3" footer="0.3"/>
  <pageSetup scale="7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1B53-AEA1-4968-9916-A126A73F6612}">
  <sheetPr>
    <tabColor theme="9" tint="0.79998168889431442"/>
  </sheetPr>
  <dimension ref="A1:G41"/>
  <sheetViews>
    <sheetView view="pageBreakPreview" zoomScaleNormal="100" zoomScaleSheetLayoutView="100" workbookViewId="0">
      <selection activeCell="C7" sqref="C7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233</v>
      </c>
      <c r="B1" s="145"/>
      <c r="C1" s="145"/>
      <c r="D1" s="145"/>
      <c r="E1" s="145"/>
      <c r="F1" s="145"/>
      <c r="G1" s="145"/>
    </row>
    <row r="2" spans="1:7" x14ac:dyDescent="0.3">
      <c r="A2" s="144" t="s">
        <v>232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108899</v>
      </c>
      <c r="C5" s="7">
        <v>384</v>
      </c>
      <c r="D5" s="8" t="s">
        <v>55</v>
      </c>
      <c r="E5" s="9">
        <f>B5/C5</f>
        <v>283.59114583333331</v>
      </c>
      <c r="F5" s="100" t="s">
        <v>67</v>
      </c>
      <c r="G5" s="9">
        <f>IF(F5="Yes",E5,"")</f>
        <v>283.59114583333331</v>
      </c>
    </row>
    <row r="6" spans="1:7" x14ac:dyDescent="0.3">
      <c r="A6" s="6" t="s">
        <v>10</v>
      </c>
      <c r="B6" s="7">
        <v>18896</v>
      </c>
      <c r="C6" s="7">
        <v>70</v>
      </c>
      <c r="D6" s="8" t="s">
        <v>55</v>
      </c>
      <c r="E6" s="9">
        <f t="shared" ref="E6:E9" si="0">B6/C6</f>
        <v>269.94285714285712</v>
      </c>
      <c r="F6" s="100"/>
      <c r="G6" s="9"/>
    </row>
    <row r="7" spans="1:7" x14ac:dyDescent="0.3">
      <c r="A7" s="6" t="s">
        <v>6</v>
      </c>
      <c r="B7" s="7">
        <v>6374</v>
      </c>
      <c r="C7" s="7">
        <v>48</v>
      </c>
      <c r="D7" s="8" t="s">
        <v>55</v>
      </c>
      <c r="E7" s="9">
        <f t="shared" si="0"/>
        <v>132.79166666666666</v>
      </c>
      <c r="F7" s="100" t="s">
        <v>67</v>
      </c>
      <c r="G7" s="9">
        <f t="shared" ref="G7:G9" si="1">IF(F7="Yes",E7,"")</f>
        <v>132.79166666666666</v>
      </c>
    </row>
    <row r="8" spans="1:7" x14ac:dyDescent="0.3">
      <c r="A8" s="6" t="s">
        <v>14</v>
      </c>
      <c r="B8" s="7">
        <v>3336</v>
      </c>
      <c r="C8" s="7">
        <v>11</v>
      </c>
      <c r="D8" s="8" t="s">
        <v>55</v>
      </c>
      <c r="E8" s="9">
        <f t="shared" si="0"/>
        <v>303.27272727272725</v>
      </c>
      <c r="F8" s="100" t="s">
        <v>67</v>
      </c>
      <c r="G8" s="9">
        <f t="shared" si="1"/>
        <v>303.27272727272725</v>
      </c>
    </row>
    <row r="9" spans="1:7" x14ac:dyDescent="0.3">
      <c r="A9" s="6" t="s">
        <v>335</v>
      </c>
      <c r="B9" s="7">
        <v>1465</v>
      </c>
      <c r="C9" s="7">
        <v>5</v>
      </c>
      <c r="D9" s="8" t="s">
        <v>55</v>
      </c>
      <c r="E9" s="9">
        <f t="shared" si="0"/>
        <v>293</v>
      </c>
      <c r="F9" s="100" t="s">
        <v>67</v>
      </c>
      <c r="G9" s="9">
        <f t="shared" si="1"/>
        <v>293</v>
      </c>
    </row>
    <row r="10" spans="1:7" x14ac:dyDescent="0.3">
      <c r="A10" s="6"/>
      <c r="B10" s="7"/>
      <c r="C10" s="7"/>
      <c r="D10" s="8"/>
      <c r="E10" s="9"/>
      <c r="F10" s="100"/>
      <c r="G10" s="9"/>
    </row>
    <row r="11" spans="1:7" x14ac:dyDescent="0.3">
      <c r="A11" s="6"/>
      <c r="B11" s="7"/>
      <c r="C11" s="7"/>
      <c r="D11" s="8"/>
      <c r="E11" s="9"/>
      <c r="F11" s="100"/>
      <c r="G11" s="9"/>
    </row>
    <row r="12" spans="1:7" x14ac:dyDescent="0.3">
      <c r="A12" s="93" t="s">
        <v>340</v>
      </c>
      <c r="B12" s="94"/>
      <c r="C12" s="94">
        <f>B15</f>
        <v>15</v>
      </c>
      <c r="D12" s="95" t="s">
        <v>55</v>
      </c>
      <c r="E12" s="101">
        <f>IFERROR(E40*(B15^E41),0)</f>
        <v>253.51996153196097</v>
      </c>
      <c r="F12" s="97"/>
      <c r="G12" s="101">
        <f>IFERROR(F40*(B15^F41),0)</f>
        <v>247.97532769165934</v>
      </c>
    </row>
    <row r="14" spans="1:7" x14ac:dyDescent="0.3">
      <c r="A14" s="163" t="s">
        <v>70</v>
      </c>
      <c r="B14" s="163"/>
    </row>
    <row r="15" spans="1:7" x14ac:dyDescent="0.3">
      <c r="A15" s="6" t="s">
        <v>229</v>
      </c>
      <c r="B15" s="103">
        <f>'Summary - MH'!D11</f>
        <v>15</v>
      </c>
    </row>
    <row r="16" spans="1:7" x14ac:dyDescent="0.3">
      <c r="A16" s="6" t="s">
        <v>230</v>
      </c>
      <c r="B16" s="99">
        <f>B15*E12</f>
        <v>3802.7994229794144</v>
      </c>
    </row>
    <row r="17" spans="1:2" x14ac:dyDescent="0.3">
      <c r="A17" s="6" t="s">
        <v>231</v>
      </c>
      <c r="B17" s="99">
        <f>C12*G12</f>
        <v>3719.6299153748901</v>
      </c>
    </row>
    <row r="39" spans="2:6" x14ac:dyDescent="0.3">
      <c r="E39" s="65" t="s">
        <v>339</v>
      </c>
      <c r="F39" s="65" t="s">
        <v>65</v>
      </c>
    </row>
    <row r="40" spans="2:6" x14ac:dyDescent="0.3">
      <c r="B40" t="s">
        <v>337</v>
      </c>
      <c r="C40" s="12">
        <f>AVERAGE(E5:E9)</f>
        <v>256.51967938311685</v>
      </c>
      <c r="E40" s="67" cm="1">
        <f t="array" ref="E40">EXP(INDEX(LINEST(LN(E5:E9),LN(C5:C9),,),1,2))</f>
        <v>276.91278019593619</v>
      </c>
      <c r="F40" s="67" cm="1">
        <f t="array" ref="F40">IFERROR(EXP(INDEX(LINEST(LN(_xlfn._xlws.FILTER(G5:G9, (C5:C9&gt;0)*(G5:G9&gt;0))), LN(_xlfn._xlws.FILTER(C5:C9, (C5:C9&gt;0)*(G5:G9&gt;0)))), 1, 2)),0)</f>
        <v>276.92470367917031</v>
      </c>
    </row>
    <row r="41" spans="2:6" x14ac:dyDescent="0.3">
      <c r="B41" t="s">
        <v>338</v>
      </c>
      <c r="C41" s="12">
        <f>STDEV(E5:E9)</f>
        <v>70.246580712116625</v>
      </c>
      <c r="E41" s="67" cm="1">
        <f t="array" ref="E41">INDEX(LINEST(LN(E5:E9),LN(C5:C9),,),1)</f>
        <v>-3.2591722259331928E-2</v>
      </c>
      <c r="F41" s="67" cm="1">
        <f t="array" ref="F41">IFERROR(INDEX(LINEST(LN(_xlfn._xlws.FILTER(G5:G9, (C5:C9&gt;0)*(G5:G9&gt;0))),LN(_xlfn._xlws.FILTER(C5:C9, (C5:C9&gt;0)*(G5:G9&gt;0)))),1),0)</f>
        <v>-4.0773389361740943E-2</v>
      </c>
    </row>
  </sheetData>
  <mergeCells count="3">
    <mergeCell ref="A1:G1"/>
    <mergeCell ref="A2:G2"/>
    <mergeCell ref="A14:B14"/>
  </mergeCells>
  <pageMargins left="0.7" right="0.7" top="0.75" bottom="0.75" header="0.3" footer="0.3"/>
  <pageSetup scale="7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89AC-909D-4FD4-8118-B8FBED224B16}">
  <sheetPr>
    <tabColor theme="9" tint="0.79998168889431442"/>
  </sheetPr>
  <dimension ref="A1:G42"/>
  <sheetViews>
    <sheetView view="pageBreakPreview" zoomScaleNormal="100" zoomScaleSheetLayoutView="100" workbookViewId="0">
      <selection activeCell="I23" sqref="I23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75</v>
      </c>
      <c r="B1" s="145"/>
      <c r="C1" s="145"/>
      <c r="D1" s="145"/>
      <c r="E1" s="145"/>
      <c r="F1" s="145"/>
      <c r="G1" s="145"/>
    </row>
    <row r="2" spans="1:7" x14ac:dyDescent="0.3">
      <c r="A2" s="144" t="s">
        <v>76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48960</v>
      </c>
      <c r="C5" s="7">
        <v>1169432</v>
      </c>
      <c r="D5" s="8" t="s">
        <v>43</v>
      </c>
      <c r="E5" s="9">
        <f>B5/C5</f>
        <v>4.1866478769180253E-2</v>
      </c>
      <c r="F5" s="100" t="s">
        <v>67</v>
      </c>
      <c r="G5" s="9">
        <f>IF(F5="Yes",E5,"")</f>
        <v>4.1866478769180253E-2</v>
      </c>
    </row>
    <row r="6" spans="1:7" x14ac:dyDescent="0.3">
      <c r="A6" s="6" t="s">
        <v>5</v>
      </c>
      <c r="B6" s="7">
        <v>54751</v>
      </c>
      <c r="C6" s="7">
        <v>434037</v>
      </c>
      <c r="D6" s="8" t="s">
        <v>43</v>
      </c>
      <c r="E6" s="9">
        <f t="shared" ref="E6:E10" si="0">B6/C6</f>
        <v>0.12614362370028362</v>
      </c>
      <c r="F6" s="100"/>
      <c r="G6" s="9"/>
    </row>
    <row r="7" spans="1:7" x14ac:dyDescent="0.3">
      <c r="A7" s="6" t="s">
        <v>10</v>
      </c>
      <c r="B7" s="7">
        <v>18592</v>
      </c>
      <c r="C7" s="7">
        <v>377619</v>
      </c>
      <c r="D7" s="8" t="s">
        <v>43</v>
      </c>
      <c r="E7" s="9">
        <f t="shared" si="0"/>
        <v>4.9234810748399839E-2</v>
      </c>
      <c r="F7" s="100"/>
      <c r="G7" s="9"/>
    </row>
    <row r="8" spans="1:7" x14ac:dyDescent="0.3">
      <c r="A8" s="6" t="s">
        <v>6</v>
      </c>
      <c r="B8" s="7">
        <v>4724</v>
      </c>
      <c r="C8" s="7">
        <v>95796</v>
      </c>
      <c r="D8" s="8" t="s">
        <v>43</v>
      </c>
      <c r="E8" s="9">
        <f t="shared" si="0"/>
        <v>4.931312372124097E-2</v>
      </c>
      <c r="F8" s="100" t="s">
        <v>67</v>
      </c>
      <c r="G8" s="9">
        <f t="shared" ref="G8:G10" si="1">IF(F8="Yes",E8,"")</f>
        <v>4.931312372124097E-2</v>
      </c>
    </row>
    <row r="9" spans="1:7" x14ac:dyDescent="0.3">
      <c r="A9" s="6" t="s">
        <v>12</v>
      </c>
      <c r="B9" s="7">
        <v>3905</v>
      </c>
      <c r="C9" s="7">
        <v>42336</v>
      </c>
      <c r="D9" s="8" t="s">
        <v>43</v>
      </c>
      <c r="E9" s="9">
        <f t="shared" si="0"/>
        <v>9.2238284202569923E-2</v>
      </c>
      <c r="F9" s="100" t="s">
        <v>67</v>
      </c>
      <c r="G9" s="9">
        <f t="shared" si="1"/>
        <v>9.2238284202569923E-2</v>
      </c>
    </row>
    <row r="10" spans="1:7" x14ac:dyDescent="0.3">
      <c r="A10" s="6" t="s">
        <v>14</v>
      </c>
      <c r="B10" s="7">
        <v>696</v>
      </c>
      <c r="C10" s="7">
        <v>30039</v>
      </c>
      <c r="D10" s="8" t="s">
        <v>43</v>
      </c>
      <c r="E10" s="9">
        <f t="shared" si="0"/>
        <v>2.3169879157095775E-2</v>
      </c>
      <c r="F10" s="100" t="s">
        <v>67</v>
      </c>
      <c r="G10" s="9">
        <f t="shared" si="1"/>
        <v>2.3169879157095775E-2</v>
      </c>
    </row>
    <row r="11" spans="1:7" x14ac:dyDescent="0.3">
      <c r="A11" s="6"/>
      <c r="B11" s="7"/>
      <c r="C11" s="7"/>
      <c r="D11" s="8"/>
      <c r="E11" s="9"/>
      <c r="F11" s="100"/>
      <c r="G11" s="9"/>
    </row>
    <row r="12" spans="1:7" x14ac:dyDescent="0.3">
      <c r="A12" s="6"/>
      <c r="B12" s="7"/>
      <c r="C12" s="7"/>
      <c r="D12" s="8"/>
      <c r="E12" s="9"/>
      <c r="F12" s="100"/>
      <c r="G12" s="9"/>
    </row>
    <row r="13" spans="1:7" x14ac:dyDescent="0.3">
      <c r="A13" s="93" t="s">
        <v>340</v>
      </c>
      <c r="B13" s="94"/>
      <c r="C13" s="94">
        <f>B16</f>
        <v>10310</v>
      </c>
      <c r="D13" s="95" t="s">
        <v>43</v>
      </c>
      <c r="E13" s="101">
        <f>IFERROR(E41*(B16^E42),0)</f>
        <v>4.2003278859845547E-2</v>
      </c>
      <c r="F13" s="97"/>
      <c r="G13" s="101">
        <f>IFERROR(F41*(B16^F42),0)</f>
        <v>4.5916917560162827E-2</v>
      </c>
    </row>
    <row r="15" spans="1:7" x14ac:dyDescent="0.3">
      <c r="A15" s="163" t="s">
        <v>70</v>
      </c>
      <c r="B15" s="163"/>
    </row>
    <row r="16" spans="1:7" x14ac:dyDescent="0.3">
      <c r="A16" s="6" t="s">
        <v>229</v>
      </c>
      <c r="B16" s="103">
        <f>'Summary - MH'!D13</f>
        <v>10310</v>
      </c>
    </row>
    <row r="17" spans="1:2" x14ac:dyDescent="0.3">
      <c r="A17" s="6" t="s">
        <v>230</v>
      </c>
      <c r="B17" s="99">
        <f>B16*E13</f>
        <v>433.05380504500761</v>
      </c>
    </row>
    <row r="18" spans="1:2" x14ac:dyDescent="0.3">
      <c r="A18" s="6" t="s">
        <v>231</v>
      </c>
      <c r="B18" s="99">
        <f>C13*G13</f>
        <v>473.40342004527878</v>
      </c>
    </row>
    <row r="40" spans="2:6" x14ac:dyDescent="0.3">
      <c r="E40" s="65" t="s">
        <v>339</v>
      </c>
      <c r="F40" s="65" t="s">
        <v>65</v>
      </c>
    </row>
    <row r="41" spans="2:6" x14ac:dyDescent="0.3">
      <c r="B41" t="s">
        <v>337</v>
      </c>
      <c r="C41" s="12">
        <f>AVERAGE(E5:E10)</f>
        <v>6.3661033383128396E-2</v>
      </c>
      <c r="E41" s="67" cm="1">
        <f t="array" ref="E41">EXP(INDEX(LINEST(LN(E5:E10),LN(C5:C10),,),1,2))</f>
        <v>1.7334082497908888E-2</v>
      </c>
      <c r="F41" s="67" cm="1">
        <f t="array" ref="F41">IFERROR(EXP(INDEX(LINEST(LN(_xlfn._xlws.FILTER(G5:G10, (C5:C10&gt;0)*(G5:G10&gt;0))), LN(_xlfn._xlws.FILTER(C5:C10, (C5:C10&gt;0)*(G5:G10&gt;0)))), 1, 2)),0)</f>
        <v>4.6252040610832136E-2</v>
      </c>
    </row>
    <row r="42" spans="2:6" x14ac:dyDescent="0.3">
      <c r="B42" t="s">
        <v>338</v>
      </c>
      <c r="C42" s="12">
        <f>STDEV(E5:E10)</f>
        <v>3.807689049722391E-2</v>
      </c>
      <c r="E42" s="67" cm="1">
        <f t="array" ref="E42">INDEX(LINEST(LN(E5:E10),LN(C5:C10),,),1)</f>
        <v>9.5778111133295901E-2</v>
      </c>
      <c r="F42" s="67" cm="1">
        <f t="array" ref="F42">IFERROR(INDEX(LINEST(LN(_xlfn._xlws.FILTER(G5:G10, (C5:C10&gt;0)*(G5:G10&gt;0))),LN(_xlfn._xlws.FILTER(C5:C10, (C5:C10&gt;0)*(G5:G10&gt;0)))),1),0)</f>
        <v>-7.869346910092047E-4</v>
      </c>
    </row>
  </sheetData>
  <mergeCells count="3">
    <mergeCell ref="A1:G1"/>
    <mergeCell ref="A2:G2"/>
    <mergeCell ref="A15:B15"/>
  </mergeCells>
  <pageMargins left="0.7" right="0.7" top="0.75" bottom="0.75" header="0.3" footer="0.3"/>
  <pageSetup scale="7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475A3-FD97-4E3A-80B8-0F90C1E8D7F6}">
  <sheetPr>
    <tabColor theme="9" tint="0.79998168889431442"/>
  </sheetPr>
  <dimension ref="A1:G42"/>
  <sheetViews>
    <sheetView view="pageBreakPreview" zoomScaleNormal="100" zoomScaleSheetLayoutView="100" workbookViewId="0">
      <selection activeCell="G14" sqref="G14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342</v>
      </c>
      <c r="B1" s="145"/>
      <c r="C1" s="145"/>
      <c r="D1" s="145"/>
      <c r="E1" s="145"/>
      <c r="F1" s="145"/>
      <c r="G1" s="145"/>
    </row>
    <row r="2" spans="1:7" x14ac:dyDescent="0.3">
      <c r="A2" s="144" t="s">
        <v>76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10909</v>
      </c>
      <c r="C5" s="7">
        <v>190048</v>
      </c>
      <c r="D5" s="8" t="s">
        <v>43</v>
      </c>
      <c r="E5" s="9">
        <f>B5/C5</f>
        <v>5.7401288095638998E-2</v>
      </c>
      <c r="F5" s="100" t="s">
        <v>67</v>
      </c>
      <c r="G5" s="9">
        <f>IF(F5="Yes",E5,"")</f>
        <v>5.7401288095638998E-2</v>
      </c>
    </row>
    <row r="6" spans="1:7" x14ac:dyDescent="0.3">
      <c r="A6" s="6" t="s">
        <v>10</v>
      </c>
      <c r="B6" s="7">
        <v>5339</v>
      </c>
      <c r="C6" s="7">
        <v>241020</v>
      </c>
      <c r="D6" s="8" t="s">
        <v>43</v>
      </c>
      <c r="E6" s="9">
        <f t="shared" ref="E6" si="0">B6/C6</f>
        <v>2.2151688656543024E-2</v>
      </c>
      <c r="F6" s="100" t="s">
        <v>67</v>
      </c>
      <c r="G6" s="9">
        <f>IF(F6="Yes",E6,"")</f>
        <v>2.2151688656543024E-2</v>
      </c>
    </row>
    <row r="7" spans="1:7" x14ac:dyDescent="0.3">
      <c r="A7" s="6"/>
      <c r="B7" s="7"/>
      <c r="C7" s="7"/>
      <c r="D7" s="8"/>
      <c r="E7" s="9"/>
      <c r="F7" s="100"/>
      <c r="G7" s="9"/>
    </row>
    <row r="8" spans="1:7" x14ac:dyDescent="0.3">
      <c r="A8" s="6"/>
      <c r="B8" s="7"/>
      <c r="C8" s="7"/>
      <c r="D8" s="8"/>
      <c r="E8" s="9"/>
      <c r="F8" s="100"/>
      <c r="G8" s="9"/>
    </row>
    <row r="9" spans="1:7" x14ac:dyDescent="0.3">
      <c r="A9" s="6"/>
      <c r="B9" s="7"/>
      <c r="C9" s="7"/>
      <c r="D9" s="8"/>
      <c r="E9" s="9"/>
      <c r="F9" s="100"/>
      <c r="G9" s="9"/>
    </row>
    <row r="10" spans="1:7" x14ac:dyDescent="0.3">
      <c r="A10" s="6"/>
      <c r="B10" s="7"/>
      <c r="C10" s="7"/>
      <c r="D10" s="8"/>
      <c r="E10" s="9"/>
      <c r="F10" s="100"/>
      <c r="G10" s="9"/>
    </row>
    <row r="11" spans="1:7" x14ac:dyDescent="0.3">
      <c r="A11" s="6"/>
      <c r="B11" s="7"/>
      <c r="C11" s="7"/>
      <c r="D11" s="8"/>
      <c r="E11" s="9"/>
      <c r="F11" s="100"/>
      <c r="G11" s="9"/>
    </row>
    <row r="12" spans="1:7" x14ac:dyDescent="0.3">
      <c r="A12" s="6"/>
      <c r="B12" s="7"/>
      <c r="C12" s="7"/>
      <c r="D12" s="8"/>
      <c r="E12" s="9"/>
      <c r="F12" s="100"/>
      <c r="G12" s="9"/>
    </row>
    <row r="13" spans="1:7" x14ac:dyDescent="0.3">
      <c r="A13" s="93" t="s">
        <v>340</v>
      </c>
      <c r="B13" s="94"/>
      <c r="C13" s="94">
        <f>B16</f>
        <v>0</v>
      </c>
      <c r="D13" s="95" t="s">
        <v>43</v>
      </c>
      <c r="E13" s="101">
        <f>IFERROR(E41*(B16^E42),0)</f>
        <v>0</v>
      </c>
      <c r="F13" s="97"/>
      <c r="G13" s="101">
        <f>IFERROR(F41*(B16^F42),0)</f>
        <v>0</v>
      </c>
    </row>
    <row r="15" spans="1:7" x14ac:dyDescent="0.3">
      <c r="A15" s="163" t="s">
        <v>70</v>
      </c>
      <c r="B15" s="163"/>
    </row>
    <row r="16" spans="1:7" x14ac:dyDescent="0.3">
      <c r="A16" s="6" t="s">
        <v>229</v>
      </c>
      <c r="B16" s="103">
        <f>'Summary - MH'!D14</f>
        <v>0</v>
      </c>
    </row>
    <row r="17" spans="1:2" x14ac:dyDescent="0.3">
      <c r="A17" s="6" t="s">
        <v>230</v>
      </c>
      <c r="B17" s="99">
        <f>B16*E13</f>
        <v>0</v>
      </c>
    </row>
    <row r="18" spans="1:2" x14ac:dyDescent="0.3">
      <c r="A18" s="6" t="s">
        <v>231</v>
      </c>
      <c r="B18" s="99">
        <f>C13*G13</f>
        <v>0</v>
      </c>
    </row>
    <row r="40" spans="2:6" x14ac:dyDescent="0.3">
      <c r="E40" s="65" t="s">
        <v>339</v>
      </c>
      <c r="F40" s="65" t="s">
        <v>65</v>
      </c>
    </row>
    <row r="41" spans="2:6" x14ac:dyDescent="0.3">
      <c r="B41" t="s">
        <v>337</v>
      </c>
      <c r="C41" s="12">
        <f>AVERAGE(E5:E6)</f>
        <v>3.9776488376091011E-2</v>
      </c>
      <c r="E41" s="67" cm="1">
        <f t="array" ref="E41">EXP(INDEX(LINEST(LN(E5:E6),LN(C5:C6),,),1,2))</f>
        <v>8.1852760169131655E+19</v>
      </c>
      <c r="F41" s="67" cm="1">
        <f t="array" ref="F41">IFERROR(EXP(INDEX(LINEST(LN(_xlfn._xlws.FILTER(G5:G6, (C5:C6&gt;0)*(G5:G6&gt;0))), LN(_xlfn._xlws.FILTER(C5:C6, (C5:C6&gt;0)*(G5:G6&gt;0)))), 1, 2)),0)</f>
        <v>8.1852760169131655E+19</v>
      </c>
    </row>
    <row r="42" spans="2:6" x14ac:dyDescent="0.3">
      <c r="B42" t="s">
        <v>338</v>
      </c>
      <c r="C42" s="12">
        <f>STDEV(E5:E6)</f>
        <v>2.4925230797494282E-2</v>
      </c>
      <c r="E42" s="67" cm="1">
        <f t="array" ref="E42">INDEX(LINEST(LN(E5:E6),LN(C5:C6),,),1)</f>
        <v>-4.0073232577045728</v>
      </c>
      <c r="F42" s="67" cm="1">
        <f t="array" ref="F42">IFERROR(INDEX(LINEST(LN(_xlfn._xlws.FILTER(G5:G6, (C5:C6&gt;0)*(G5:G6&gt;0))),LN(_xlfn._xlws.FILTER(C5:C6, (C5:C6&gt;0)*(G5:G6&gt;0)))),1),0)</f>
        <v>-4.0073232577045728</v>
      </c>
    </row>
  </sheetData>
  <mergeCells count="3">
    <mergeCell ref="A1:G1"/>
    <mergeCell ref="A2:G2"/>
    <mergeCell ref="A15:B15"/>
  </mergeCells>
  <pageMargins left="0.7" right="0.7" top="0.75" bottom="0.75" header="0.3" footer="0.3"/>
  <pageSetup scale="7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4B66-DF53-4501-A572-2523F0E89DC0}">
  <sheetPr>
    <tabColor theme="9" tint="0.79998168889431442"/>
  </sheetPr>
  <dimension ref="A1:K127"/>
  <sheetViews>
    <sheetView tabSelected="1" topLeftCell="C62" zoomScaleNormal="100" workbookViewId="0">
      <selection activeCell="I5" sqref="I5:I82"/>
    </sheetView>
  </sheetViews>
  <sheetFormatPr defaultRowHeight="14.4" x14ac:dyDescent="0.3"/>
  <cols>
    <col min="1" max="1" width="30.77734375" customWidth="1"/>
    <col min="2" max="2" width="45.77734375" customWidth="1"/>
    <col min="3" max="4" width="15.77734375" customWidth="1"/>
    <col min="5" max="5" width="10.77734375" customWidth="1"/>
    <col min="6" max="6" width="15.77734375" customWidth="1"/>
    <col min="7" max="7" width="16" customWidth="1"/>
    <col min="8" max="8" width="18.77734375" customWidth="1"/>
    <col min="9" max="11" width="20.77734375" customWidth="1"/>
  </cols>
  <sheetData>
    <row r="1" spans="1:11" ht="15.6" x14ac:dyDescent="0.3">
      <c r="A1" s="145" t="s">
        <v>237</v>
      </c>
      <c r="B1" s="145"/>
      <c r="C1" s="145"/>
      <c r="D1" s="145"/>
      <c r="E1" s="145"/>
      <c r="F1" s="145"/>
      <c r="G1" s="145"/>
      <c r="H1" s="145"/>
    </row>
    <row r="2" spans="1:11" x14ac:dyDescent="0.3">
      <c r="A2" s="144" t="s">
        <v>238</v>
      </c>
      <c r="B2" s="144"/>
      <c r="C2" s="144"/>
      <c r="D2" s="144"/>
      <c r="E2" s="144"/>
      <c r="F2" s="144"/>
      <c r="G2" s="144"/>
      <c r="H2" s="144"/>
    </row>
    <row r="4" spans="1:11" x14ac:dyDescent="0.3">
      <c r="A4" s="78" t="s">
        <v>1</v>
      </c>
      <c r="B4" s="79" t="s">
        <v>240</v>
      </c>
      <c r="C4" s="79" t="s">
        <v>68</v>
      </c>
      <c r="D4" s="79" t="s">
        <v>63</v>
      </c>
      <c r="E4" s="79" t="s">
        <v>18</v>
      </c>
      <c r="F4" s="79" t="s">
        <v>64</v>
      </c>
      <c r="G4" s="79" t="s">
        <v>66</v>
      </c>
      <c r="H4" s="79" t="s">
        <v>65</v>
      </c>
      <c r="I4" s="79" t="s">
        <v>239</v>
      </c>
      <c r="J4" s="79" t="s">
        <v>327</v>
      </c>
      <c r="K4" s="80" t="s">
        <v>241</v>
      </c>
    </row>
    <row r="5" spans="1:11" x14ac:dyDescent="0.3">
      <c r="A5" s="76" t="s">
        <v>2</v>
      </c>
      <c r="B5" s="13" t="s">
        <v>282</v>
      </c>
      <c r="C5" s="74">
        <v>3389</v>
      </c>
      <c r="D5" s="74">
        <v>240178</v>
      </c>
      <c r="E5" s="8" t="s">
        <v>43</v>
      </c>
      <c r="F5" s="75">
        <f>C5/D5</f>
        <v>1.411036814362681E-2</v>
      </c>
      <c r="G5" s="100" t="s">
        <v>325</v>
      </c>
      <c r="H5" s="15" t="str">
        <f>IF(G5="Yes",F5,"")</f>
        <v/>
      </c>
      <c r="I5" s="9" t="s">
        <v>243</v>
      </c>
      <c r="J5" s="9" t="s">
        <v>325</v>
      </c>
      <c r="K5" s="77" t="s">
        <v>328</v>
      </c>
    </row>
    <row r="6" spans="1:11" x14ac:dyDescent="0.3">
      <c r="A6" s="76" t="s">
        <v>2</v>
      </c>
      <c r="B6" s="13" t="s">
        <v>283</v>
      </c>
      <c r="C6" s="74">
        <v>7087</v>
      </c>
      <c r="D6" s="74">
        <v>199692</v>
      </c>
      <c r="E6" s="8" t="s">
        <v>43</v>
      </c>
      <c r="F6" s="75">
        <f t="shared" ref="F6:F43" si="0">C6/D6</f>
        <v>3.5489654067263586E-2</v>
      </c>
      <c r="G6" s="100" t="s">
        <v>325</v>
      </c>
      <c r="H6" s="15" t="str">
        <f t="shared" ref="H6:H82" si="1">IF(G6="Yes",F6,"")</f>
        <v/>
      </c>
      <c r="I6" s="9" t="s">
        <v>243</v>
      </c>
      <c r="J6" s="9" t="s">
        <v>325</v>
      </c>
      <c r="K6" s="77" t="s">
        <v>328</v>
      </c>
    </row>
    <row r="7" spans="1:11" x14ac:dyDescent="0.3">
      <c r="A7" s="76" t="s">
        <v>2</v>
      </c>
      <c r="B7" s="13" t="s">
        <v>284</v>
      </c>
      <c r="C7" s="74">
        <v>4409</v>
      </c>
      <c r="D7" s="74">
        <v>143290</v>
      </c>
      <c r="E7" s="8" t="s">
        <v>43</v>
      </c>
      <c r="F7" s="75">
        <f t="shared" si="0"/>
        <v>3.0769767604159396E-2</v>
      </c>
      <c r="G7" s="100" t="s">
        <v>325</v>
      </c>
      <c r="H7" s="15" t="str">
        <f t="shared" si="1"/>
        <v/>
      </c>
      <c r="I7" s="9" t="s">
        <v>243</v>
      </c>
      <c r="J7" s="9" t="s">
        <v>325</v>
      </c>
      <c r="K7" s="77" t="s">
        <v>328</v>
      </c>
    </row>
    <row r="8" spans="1:11" x14ac:dyDescent="0.3">
      <c r="A8" s="76" t="s">
        <v>2</v>
      </c>
      <c r="B8" s="13" t="s">
        <v>285</v>
      </c>
      <c r="C8" s="74">
        <v>5202</v>
      </c>
      <c r="D8" s="74">
        <v>136169</v>
      </c>
      <c r="E8" s="8" t="s">
        <v>43</v>
      </c>
      <c r="F8" s="75">
        <f t="shared" si="0"/>
        <v>3.8202527741262697E-2</v>
      </c>
      <c r="G8" s="100" t="s">
        <v>325</v>
      </c>
      <c r="H8" s="15" t="str">
        <f t="shared" si="1"/>
        <v/>
      </c>
      <c r="I8" s="9" t="s">
        <v>243</v>
      </c>
      <c r="J8" s="9" t="s">
        <v>325</v>
      </c>
      <c r="K8" s="77" t="s">
        <v>328</v>
      </c>
    </row>
    <row r="9" spans="1:11" x14ac:dyDescent="0.3">
      <c r="A9" s="76" t="s">
        <v>2</v>
      </c>
      <c r="B9" s="13" t="s">
        <v>286</v>
      </c>
      <c r="C9" s="74">
        <v>3727</v>
      </c>
      <c r="D9" s="74">
        <v>116988</v>
      </c>
      <c r="E9" s="8" t="s">
        <v>43</v>
      </c>
      <c r="F9" s="75">
        <f t="shared" si="0"/>
        <v>3.1857968338633025E-2</v>
      </c>
      <c r="G9" s="100" t="s">
        <v>325</v>
      </c>
      <c r="H9" s="15" t="str">
        <f t="shared" si="1"/>
        <v/>
      </c>
      <c r="I9" s="9" t="s">
        <v>243</v>
      </c>
      <c r="J9" s="9" t="s">
        <v>325</v>
      </c>
      <c r="K9" s="77" t="s">
        <v>328</v>
      </c>
    </row>
    <row r="10" spans="1:11" x14ac:dyDescent="0.3">
      <c r="A10" s="76" t="s">
        <v>2</v>
      </c>
      <c r="B10" s="13" t="s">
        <v>287</v>
      </c>
      <c r="C10" s="74">
        <v>3811</v>
      </c>
      <c r="D10" s="74">
        <v>89646</v>
      </c>
      <c r="E10" s="8" t="s">
        <v>43</v>
      </c>
      <c r="F10" s="75">
        <f t="shared" si="0"/>
        <v>4.2511656961827633E-2</v>
      </c>
      <c r="G10" s="100" t="s">
        <v>325</v>
      </c>
      <c r="H10" s="15" t="str">
        <f t="shared" si="1"/>
        <v/>
      </c>
      <c r="I10" s="9" t="s">
        <v>243</v>
      </c>
      <c r="J10" s="9" t="s">
        <v>325</v>
      </c>
      <c r="K10" s="77" t="s">
        <v>328</v>
      </c>
    </row>
    <row r="11" spans="1:11" x14ac:dyDescent="0.3">
      <c r="A11" s="76" t="s">
        <v>2</v>
      </c>
      <c r="B11" s="13" t="s">
        <v>288</v>
      </c>
      <c r="C11" s="74">
        <v>2421</v>
      </c>
      <c r="D11" s="74">
        <v>66662</v>
      </c>
      <c r="E11" s="8" t="s">
        <v>43</v>
      </c>
      <c r="F11" s="75">
        <f t="shared" si="0"/>
        <v>3.6317542227955954E-2</v>
      </c>
      <c r="G11" s="100" t="s">
        <v>325</v>
      </c>
      <c r="H11" s="15" t="str">
        <f t="shared" si="1"/>
        <v/>
      </c>
      <c r="I11" s="9" t="s">
        <v>243</v>
      </c>
      <c r="J11" s="9" t="s">
        <v>325</v>
      </c>
      <c r="K11" s="77" t="s">
        <v>328</v>
      </c>
    </row>
    <row r="12" spans="1:11" x14ac:dyDescent="0.3">
      <c r="A12" s="76" t="s">
        <v>2</v>
      </c>
      <c r="B12" s="13" t="s">
        <v>289</v>
      </c>
      <c r="C12" s="74">
        <v>2369</v>
      </c>
      <c r="D12" s="74">
        <v>55663</v>
      </c>
      <c r="E12" s="8" t="s">
        <v>43</v>
      </c>
      <c r="F12" s="75">
        <f t="shared" si="0"/>
        <v>4.2559689560390204E-2</v>
      </c>
      <c r="G12" s="100" t="s">
        <v>325</v>
      </c>
      <c r="H12" s="15" t="str">
        <f t="shared" ref="H12:H25" si="2">IF(G12="Yes",F12,"")</f>
        <v/>
      </c>
      <c r="I12" s="9" t="s">
        <v>243</v>
      </c>
      <c r="J12" s="9" t="s">
        <v>325</v>
      </c>
      <c r="K12" s="77" t="s">
        <v>328</v>
      </c>
    </row>
    <row r="13" spans="1:11" x14ac:dyDescent="0.3">
      <c r="A13" s="76" t="s">
        <v>2</v>
      </c>
      <c r="B13" s="13" t="s">
        <v>290</v>
      </c>
      <c r="C13" s="74">
        <v>2781</v>
      </c>
      <c r="D13" s="74">
        <v>47438</v>
      </c>
      <c r="E13" s="8" t="s">
        <v>43</v>
      </c>
      <c r="F13" s="75">
        <f t="shared" si="0"/>
        <v>5.8623888022260637E-2</v>
      </c>
      <c r="G13" s="100" t="s">
        <v>325</v>
      </c>
      <c r="H13" s="15" t="str">
        <f t="shared" si="2"/>
        <v/>
      </c>
      <c r="I13" s="9" t="s">
        <v>243</v>
      </c>
      <c r="J13" s="9" t="s">
        <v>325</v>
      </c>
      <c r="K13" s="77" t="s">
        <v>328</v>
      </c>
    </row>
    <row r="14" spans="1:11" x14ac:dyDescent="0.3">
      <c r="A14" s="76" t="s">
        <v>2</v>
      </c>
      <c r="B14" s="13" t="s">
        <v>291</v>
      </c>
      <c r="C14" s="74">
        <v>2329</v>
      </c>
      <c r="D14" s="74">
        <v>47402</v>
      </c>
      <c r="E14" s="8" t="s">
        <v>43</v>
      </c>
      <c r="F14" s="75">
        <f t="shared" si="0"/>
        <v>4.9132947976878616E-2</v>
      </c>
      <c r="G14" s="100" t="s">
        <v>325</v>
      </c>
      <c r="H14" s="15" t="str">
        <f t="shared" si="2"/>
        <v/>
      </c>
      <c r="I14" s="9" t="s">
        <v>243</v>
      </c>
      <c r="J14" s="9" t="s">
        <v>325</v>
      </c>
      <c r="K14" s="77" t="s">
        <v>328</v>
      </c>
    </row>
    <row r="15" spans="1:11" x14ac:dyDescent="0.3">
      <c r="A15" s="76" t="s">
        <v>2</v>
      </c>
      <c r="B15" s="13" t="s">
        <v>292</v>
      </c>
      <c r="C15" s="74">
        <v>2365</v>
      </c>
      <c r="D15" s="74">
        <v>45178</v>
      </c>
      <c r="E15" s="8" t="s">
        <v>43</v>
      </c>
      <c r="F15" s="75">
        <f t="shared" si="0"/>
        <v>5.2348488202222321E-2</v>
      </c>
      <c r="G15" s="100" t="s">
        <v>325</v>
      </c>
      <c r="H15" s="15" t="str">
        <f t="shared" si="2"/>
        <v/>
      </c>
      <c r="I15" s="9" t="s">
        <v>243</v>
      </c>
      <c r="J15" s="9" t="s">
        <v>325</v>
      </c>
      <c r="K15" s="77" t="s">
        <v>328</v>
      </c>
    </row>
    <row r="16" spans="1:11" x14ac:dyDescent="0.3">
      <c r="A16" s="76" t="s">
        <v>2</v>
      </c>
      <c r="B16" s="13" t="s">
        <v>293</v>
      </c>
      <c r="C16" s="74">
        <v>2426</v>
      </c>
      <c r="D16" s="74">
        <v>42282</v>
      </c>
      <c r="E16" s="8" t="s">
        <v>43</v>
      </c>
      <c r="F16" s="75">
        <f t="shared" si="0"/>
        <v>5.737666146350693E-2</v>
      </c>
      <c r="G16" s="100" t="s">
        <v>325</v>
      </c>
      <c r="H16" s="15" t="str">
        <f t="shared" si="2"/>
        <v/>
      </c>
      <c r="I16" s="9" t="s">
        <v>243</v>
      </c>
      <c r="J16" s="9" t="s">
        <v>325</v>
      </c>
      <c r="K16" s="77" t="s">
        <v>328</v>
      </c>
    </row>
    <row r="17" spans="1:11" x14ac:dyDescent="0.3">
      <c r="A17" s="76" t="s">
        <v>2</v>
      </c>
      <c r="B17" s="13" t="s">
        <v>294</v>
      </c>
      <c r="C17" s="74">
        <v>1608</v>
      </c>
      <c r="D17" s="74">
        <v>42238</v>
      </c>
      <c r="E17" s="8" t="s">
        <v>43</v>
      </c>
      <c r="F17" s="75">
        <f t="shared" si="0"/>
        <v>3.8069984374260145E-2</v>
      </c>
      <c r="G17" s="100" t="s">
        <v>325</v>
      </c>
      <c r="H17" s="15" t="str">
        <f t="shared" si="2"/>
        <v/>
      </c>
      <c r="I17" s="9" t="s">
        <v>243</v>
      </c>
      <c r="J17" s="9" t="s">
        <v>325</v>
      </c>
      <c r="K17" s="77" t="s">
        <v>328</v>
      </c>
    </row>
    <row r="18" spans="1:11" x14ac:dyDescent="0.3">
      <c r="A18" s="76" t="s">
        <v>2</v>
      </c>
      <c r="B18" s="13" t="s">
        <v>295</v>
      </c>
      <c r="C18" s="74">
        <v>2133</v>
      </c>
      <c r="D18" s="74">
        <v>40935</v>
      </c>
      <c r="E18" s="8" t="s">
        <v>43</v>
      </c>
      <c r="F18" s="75">
        <f t="shared" si="0"/>
        <v>5.2106998900696228E-2</v>
      </c>
      <c r="G18" s="100" t="s">
        <v>325</v>
      </c>
      <c r="H18" s="15" t="str">
        <f t="shared" si="2"/>
        <v/>
      </c>
      <c r="I18" s="9" t="s">
        <v>243</v>
      </c>
      <c r="J18" s="9" t="s">
        <v>325</v>
      </c>
      <c r="K18" s="77" t="s">
        <v>328</v>
      </c>
    </row>
    <row r="19" spans="1:11" x14ac:dyDescent="0.3">
      <c r="A19" s="76" t="s">
        <v>2</v>
      </c>
      <c r="B19" s="13" t="s">
        <v>296</v>
      </c>
      <c r="C19" s="74">
        <v>1640</v>
      </c>
      <c r="D19" s="74">
        <v>35250</v>
      </c>
      <c r="E19" s="8" t="s">
        <v>43</v>
      </c>
      <c r="F19" s="75">
        <f t="shared" si="0"/>
        <v>4.652482269503546E-2</v>
      </c>
      <c r="G19" s="100" t="s">
        <v>325</v>
      </c>
      <c r="H19" s="15" t="str">
        <f t="shared" si="2"/>
        <v/>
      </c>
      <c r="I19" s="9" t="s">
        <v>243</v>
      </c>
      <c r="J19" s="9" t="s">
        <v>325</v>
      </c>
      <c r="K19" s="77" t="s">
        <v>328</v>
      </c>
    </row>
    <row r="20" spans="1:11" x14ac:dyDescent="0.3">
      <c r="A20" s="76" t="s">
        <v>2</v>
      </c>
      <c r="B20" s="13" t="s">
        <v>297</v>
      </c>
      <c r="C20" s="74">
        <v>4692</v>
      </c>
      <c r="D20" s="74">
        <v>33534</v>
      </c>
      <c r="E20" s="8" t="s">
        <v>43</v>
      </c>
      <c r="F20" s="75">
        <f t="shared" si="0"/>
        <v>0.13991769547325103</v>
      </c>
      <c r="G20" s="100" t="s">
        <v>325</v>
      </c>
      <c r="H20" s="15" t="str">
        <f t="shared" si="2"/>
        <v/>
      </c>
      <c r="I20" s="9" t="s">
        <v>243</v>
      </c>
      <c r="J20" s="9" t="s">
        <v>325</v>
      </c>
      <c r="K20" s="77" t="s">
        <v>328</v>
      </c>
    </row>
    <row r="21" spans="1:11" x14ac:dyDescent="0.3">
      <c r="A21" s="76" t="s">
        <v>2</v>
      </c>
      <c r="B21" s="13" t="s">
        <v>298</v>
      </c>
      <c r="C21" s="74">
        <v>4210.25</v>
      </c>
      <c r="D21" s="74">
        <v>31026</v>
      </c>
      <c r="E21" s="8" t="s">
        <v>43</v>
      </c>
      <c r="F21" s="75">
        <f t="shared" si="0"/>
        <v>0.13570070263649842</v>
      </c>
      <c r="G21" s="100" t="s">
        <v>325</v>
      </c>
      <c r="H21" s="15" t="str">
        <f t="shared" si="2"/>
        <v/>
      </c>
      <c r="I21" s="9" t="s">
        <v>243</v>
      </c>
      <c r="J21" s="9" t="s">
        <v>325</v>
      </c>
      <c r="K21" s="77" t="s">
        <v>328</v>
      </c>
    </row>
    <row r="22" spans="1:11" x14ac:dyDescent="0.3">
      <c r="A22" s="76" t="s">
        <v>2</v>
      </c>
      <c r="B22" s="13" t="s">
        <v>299</v>
      </c>
      <c r="C22" s="74">
        <v>320.75</v>
      </c>
      <c r="D22" s="74">
        <v>27367</v>
      </c>
      <c r="E22" s="8" t="s">
        <v>43</v>
      </c>
      <c r="F22" s="75">
        <f t="shared" si="0"/>
        <v>1.1720320093543318E-2</v>
      </c>
      <c r="G22" s="100" t="s">
        <v>325</v>
      </c>
      <c r="H22" s="15" t="str">
        <f t="shared" si="2"/>
        <v/>
      </c>
      <c r="I22" s="9" t="s">
        <v>243</v>
      </c>
      <c r="J22" s="9" t="s">
        <v>325</v>
      </c>
      <c r="K22" s="77" t="s">
        <v>328</v>
      </c>
    </row>
    <row r="23" spans="1:11" x14ac:dyDescent="0.3">
      <c r="A23" s="76" t="s">
        <v>2</v>
      </c>
      <c r="B23" s="13" t="s">
        <v>300</v>
      </c>
      <c r="C23" s="74">
        <v>1308</v>
      </c>
      <c r="D23" s="74">
        <v>23837</v>
      </c>
      <c r="E23" s="8" t="s">
        <v>43</v>
      </c>
      <c r="F23" s="75">
        <f t="shared" si="0"/>
        <v>5.4872676930821832E-2</v>
      </c>
      <c r="G23" s="100" t="s">
        <v>325</v>
      </c>
      <c r="H23" s="15" t="str">
        <f t="shared" si="2"/>
        <v/>
      </c>
      <c r="I23" s="9" t="s">
        <v>243</v>
      </c>
      <c r="J23" s="9" t="s">
        <v>325</v>
      </c>
      <c r="K23" s="77" t="s">
        <v>328</v>
      </c>
    </row>
    <row r="24" spans="1:11" x14ac:dyDescent="0.3">
      <c r="A24" s="76" t="s">
        <v>2</v>
      </c>
      <c r="B24" s="13" t="s">
        <v>301</v>
      </c>
      <c r="C24" s="74">
        <v>2575</v>
      </c>
      <c r="D24" s="74">
        <v>23315</v>
      </c>
      <c r="E24" s="8" t="s">
        <v>43</v>
      </c>
      <c r="F24" s="75">
        <f t="shared" si="0"/>
        <v>0.11044392022303239</v>
      </c>
      <c r="G24" s="100" t="s">
        <v>325</v>
      </c>
      <c r="H24" s="15" t="str">
        <f t="shared" si="2"/>
        <v/>
      </c>
      <c r="I24" s="9" t="s">
        <v>243</v>
      </c>
      <c r="J24" s="9" t="s">
        <v>325</v>
      </c>
      <c r="K24" s="77" t="s">
        <v>328</v>
      </c>
    </row>
    <row r="25" spans="1:11" x14ac:dyDescent="0.3">
      <c r="A25" s="76" t="s">
        <v>2</v>
      </c>
      <c r="B25" s="13" t="s">
        <v>302</v>
      </c>
      <c r="C25" s="74">
        <v>2963</v>
      </c>
      <c r="D25" s="74">
        <v>19930</v>
      </c>
      <c r="E25" s="8" t="s">
        <v>43</v>
      </c>
      <c r="F25" s="75">
        <f t="shared" si="0"/>
        <v>0.14867034621174111</v>
      </c>
      <c r="G25" s="100" t="s">
        <v>325</v>
      </c>
      <c r="H25" s="15" t="str">
        <f t="shared" si="2"/>
        <v/>
      </c>
      <c r="I25" s="9" t="s">
        <v>243</v>
      </c>
      <c r="J25" s="9" t="s">
        <v>325</v>
      </c>
      <c r="K25" s="77" t="s">
        <v>328</v>
      </c>
    </row>
    <row r="26" spans="1:11" x14ac:dyDescent="0.3">
      <c r="A26" s="76" t="s">
        <v>2</v>
      </c>
      <c r="B26" s="13" t="s">
        <v>303</v>
      </c>
      <c r="C26" s="74">
        <v>2921</v>
      </c>
      <c r="D26" s="74">
        <v>18980</v>
      </c>
      <c r="E26" s="8" t="s">
        <v>43</v>
      </c>
      <c r="F26" s="75">
        <f t="shared" si="0"/>
        <v>0.15389884088514225</v>
      </c>
      <c r="G26" s="100" t="s">
        <v>325</v>
      </c>
      <c r="H26" s="15" t="str">
        <f t="shared" si="1"/>
        <v/>
      </c>
      <c r="I26" s="9" t="s">
        <v>243</v>
      </c>
      <c r="J26" s="9" t="s">
        <v>325</v>
      </c>
      <c r="K26" s="77" t="s">
        <v>328</v>
      </c>
    </row>
    <row r="27" spans="1:11" x14ac:dyDescent="0.3">
      <c r="A27" s="76" t="s">
        <v>2</v>
      </c>
      <c r="B27" s="13" t="s">
        <v>304</v>
      </c>
      <c r="C27" s="74">
        <v>1874</v>
      </c>
      <c r="D27" s="74">
        <v>17957</v>
      </c>
      <c r="E27" s="8" t="s">
        <v>43</v>
      </c>
      <c r="F27" s="75">
        <f t="shared" si="0"/>
        <v>0.10436041655064877</v>
      </c>
      <c r="G27" s="100" t="s">
        <v>325</v>
      </c>
      <c r="H27" s="15" t="str">
        <f t="shared" si="1"/>
        <v/>
      </c>
      <c r="I27" s="9" t="s">
        <v>243</v>
      </c>
      <c r="J27" s="9" t="s">
        <v>325</v>
      </c>
      <c r="K27" s="77" t="s">
        <v>328</v>
      </c>
    </row>
    <row r="28" spans="1:11" x14ac:dyDescent="0.3">
      <c r="A28" s="76" t="s">
        <v>2</v>
      </c>
      <c r="B28" s="13" t="s">
        <v>305</v>
      </c>
      <c r="C28" s="74">
        <v>3146</v>
      </c>
      <c r="D28" s="74">
        <v>17497</v>
      </c>
      <c r="E28" s="8" t="s">
        <v>43</v>
      </c>
      <c r="F28" s="75">
        <f t="shared" si="0"/>
        <v>0.17980225181459678</v>
      </c>
      <c r="G28" s="100" t="s">
        <v>325</v>
      </c>
      <c r="H28" s="15" t="str">
        <f t="shared" si="1"/>
        <v/>
      </c>
      <c r="I28" s="9" t="s">
        <v>243</v>
      </c>
      <c r="J28" s="9" t="s">
        <v>325</v>
      </c>
      <c r="K28" s="77" t="s">
        <v>328</v>
      </c>
    </row>
    <row r="29" spans="1:11" x14ac:dyDescent="0.3">
      <c r="A29" s="76" t="s">
        <v>2</v>
      </c>
      <c r="B29" s="13" t="s">
        <v>306</v>
      </c>
      <c r="C29" s="74">
        <v>2696</v>
      </c>
      <c r="D29" s="74">
        <v>16601</v>
      </c>
      <c r="E29" s="8" t="s">
        <v>43</v>
      </c>
      <c r="F29" s="75">
        <f t="shared" si="0"/>
        <v>0.16239985543039576</v>
      </c>
      <c r="G29" s="100" t="s">
        <v>325</v>
      </c>
      <c r="H29" s="15" t="str">
        <f t="shared" si="1"/>
        <v/>
      </c>
      <c r="I29" s="9" t="s">
        <v>243</v>
      </c>
      <c r="J29" s="9" t="s">
        <v>325</v>
      </c>
      <c r="K29" s="77" t="s">
        <v>328</v>
      </c>
    </row>
    <row r="30" spans="1:11" x14ac:dyDescent="0.3">
      <c r="A30" s="76" t="s">
        <v>2</v>
      </c>
      <c r="B30" s="13" t="s">
        <v>307</v>
      </c>
      <c r="C30" s="74">
        <v>1864</v>
      </c>
      <c r="D30" s="74">
        <v>13581</v>
      </c>
      <c r="E30" s="8" t="s">
        <v>43</v>
      </c>
      <c r="F30" s="75">
        <f t="shared" si="0"/>
        <v>0.13725057065017304</v>
      </c>
      <c r="G30" s="100" t="s">
        <v>325</v>
      </c>
      <c r="H30" s="15" t="str">
        <f t="shared" si="1"/>
        <v/>
      </c>
      <c r="I30" s="9" t="s">
        <v>243</v>
      </c>
      <c r="J30" s="9" t="s">
        <v>325</v>
      </c>
      <c r="K30" s="77" t="s">
        <v>328</v>
      </c>
    </row>
    <row r="31" spans="1:11" x14ac:dyDescent="0.3">
      <c r="A31" s="76" t="s">
        <v>2</v>
      </c>
      <c r="B31" s="13" t="s">
        <v>308</v>
      </c>
      <c r="C31" s="74">
        <v>1843</v>
      </c>
      <c r="D31" s="74">
        <v>12711</v>
      </c>
      <c r="E31" s="8" t="s">
        <v>43</v>
      </c>
      <c r="F31" s="75">
        <f t="shared" si="0"/>
        <v>0.14499252615844543</v>
      </c>
      <c r="G31" s="100" t="s">
        <v>325</v>
      </c>
      <c r="H31" s="15" t="str">
        <f t="shared" si="1"/>
        <v/>
      </c>
      <c r="I31" s="9" t="s">
        <v>243</v>
      </c>
      <c r="J31" s="9" t="s">
        <v>325</v>
      </c>
      <c r="K31" s="77" t="s">
        <v>328</v>
      </c>
    </row>
    <row r="32" spans="1:11" x14ac:dyDescent="0.3">
      <c r="A32" s="76" t="s">
        <v>2</v>
      </c>
      <c r="B32" s="13" t="s">
        <v>309</v>
      </c>
      <c r="C32" s="74">
        <v>2266</v>
      </c>
      <c r="D32" s="74">
        <v>10666</v>
      </c>
      <c r="E32" s="8" t="s">
        <v>43</v>
      </c>
      <c r="F32" s="75">
        <f t="shared" si="0"/>
        <v>0.21245077817363586</v>
      </c>
      <c r="G32" s="100" t="s">
        <v>325</v>
      </c>
      <c r="H32" s="15" t="str">
        <f t="shared" si="1"/>
        <v/>
      </c>
      <c r="I32" s="9" t="s">
        <v>243</v>
      </c>
      <c r="J32" s="9" t="s">
        <v>325</v>
      </c>
      <c r="K32" s="77" t="s">
        <v>328</v>
      </c>
    </row>
    <row r="33" spans="1:11" x14ac:dyDescent="0.3">
      <c r="A33" s="76" t="s">
        <v>2</v>
      </c>
      <c r="B33" s="13" t="s">
        <v>310</v>
      </c>
      <c r="C33" s="74">
        <v>1379</v>
      </c>
      <c r="D33" s="74">
        <v>10527</v>
      </c>
      <c r="E33" s="8" t="s">
        <v>43</v>
      </c>
      <c r="F33" s="75">
        <f t="shared" si="0"/>
        <v>0.13099648522846016</v>
      </c>
      <c r="G33" s="100" t="s">
        <v>325</v>
      </c>
      <c r="H33" s="15" t="str">
        <f t="shared" si="1"/>
        <v/>
      </c>
      <c r="I33" s="9" t="s">
        <v>243</v>
      </c>
      <c r="J33" s="9" t="s">
        <v>325</v>
      </c>
      <c r="K33" s="77" t="s">
        <v>328</v>
      </c>
    </row>
    <row r="34" spans="1:11" x14ac:dyDescent="0.3">
      <c r="A34" s="76" t="s">
        <v>2</v>
      </c>
      <c r="B34" s="13" t="s">
        <v>311</v>
      </c>
      <c r="C34" s="74">
        <v>1424</v>
      </c>
      <c r="D34" s="74">
        <v>9159</v>
      </c>
      <c r="E34" s="8" t="s">
        <v>43</v>
      </c>
      <c r="F34" s="75">
        <f t="shared" si="0"/>
        <v>0.15547548859045748</v>
      </c>
      <c r="G34" s="100" t="s">
        <v>325</v>
      </c>
      <c r="H34" s="15" t="str">
        <f t="shared" si="1"/>
        <v/>
      </c>
      <c r="I34" s="9" t="s">
        <v>243</v>
      </c>
      <c r="J34" s="9" t="s">
        <v>325</v>
      </c>
      <c r="K34" s="77" t="s">
        <v>328</v>
      </c>
    </row>
    <row r="35" spans="1:11" x14ac:dyDescent="0.3">
      <c r="A35" s="76" t="s">
        <v>2</v>
      </c>
      <c r="B35" s="13" t="s">
        <v>312</v>
      </c>
      <c r="C35" s="74">
        <v>1406</v>
      </c>
      <c r="D35" s="74">
        <v>8652</v>
      </c>
      <c r="E35" s="8" t="s">
        <v>43</v>
      </c>
      <c r="F35" s="75">
        <f t="shared" si="0"/>
        <v>0.16250577901063337</v>
      </c>
      <c r="G35" s="100" t="s">
        <v>325</v>
      </c>
      <c r="H35" s="15" t="str">
        <f t="shared" si="1"/>
        <v/>
      </c>
      <c r="I35" s="9" t="s">
        <v>243</v>
      </c>
      <c r="J35" s="9" t="s">
        <v>325</v>
      </c>
      <c r="K35" s="77" t="s">
        <v>328</v>
      </c>
    </row>
    <row r="36" spans="1:11" x14ac:dyDescent="0.3">
      <c r="A36" s="76" t="s">
        <v>2</v>
      </c>
      <c r="B36" s="13" t="s">
        <v>313</v>
      </c>
      <c r="C36" s="74">
        <v>1862</v>
      </c>
      <c r="D36" s="74">
        <v>7946</v>
      </c>
      <c r="E36" s="8" t="s">
        <v>43</v>
      </c>
      <c r="F36" s="75">
        <f t="shared" si="0"/>
        <v>0.23433173923986911</v>
      </c>
      <c r="G36" s="100" t="s">
        <v>325</v>
      </c>
      <c r="H36" s="15" t="str">
        <f t="shared" si="1"/>
        <v/>
      </c>
      <c r="I36" s="9" t="s">
        <v>243</v>
      </c>
      <c r="J36" s="9" t="s">
        <v>325</v>
      </c>
      <c r="K36" s="77" t="s">
        <v>328</v>
      </c>
    </row>
    <row r="37" spans="1:11" x14ac:dyDescent="0.3">
      <c r="A37" s="76" t="s">
        <v>2</v>
      </c>
      <c r="B37" s="13" t="s">
        <v>314</v>
      </c>
      <c r="C37" s="74">
        <v>1179</v>
      </c>
      <c r="D37" s="74">
        <v>7685</v>
      </c>
      <c r="E37" s="8" t="s">
        <v>43</v>
      </c>
      <c r="F37" s="75">
        <f t="shared" si="0"/>
        <v>0.15341574495770982</v>
      </c>
      <c r="G37" s="100" t="s">
        <v>325</v>
      </c>
      <c r="H37" s="15" t="str">
        <f t="shared" si="1"/>
        <v/>
      </c>
      <c r="I37" s="9" t="s">
        <v>243</v>
      </c>
      <c r="J37" s="9" t="s">
        <v>325</v>
      </c>
      <c r="K37" s="77" t="s">
        <v>328</v>
      </c>
    </row>
    <row r="38" spans="1:11" x14ac:dyDescent="0.3">
      <c r="A38" s="76" t="s">
        <v>2</v>
      </c>
      <c r="B38" s="13" t="s">
        <v>315</v>
      </c>
      <c r="C38" s="74">
        <v>1265</v>
      </c>
      <c r="D38" s="74">
        <v>6383</v>
      </c>
      <c r="E38" s="8" t="s">
        <v>43</v>
      </c>
      <c r="F38" s="75">
        <f t="shared" si="0"/>
        <v>0.19818267272442425</v>
      </c>
      <c r="G38" s="100" t="s">
        <v>325</v>
      </c>
      <c r="H38" s="15" t="str">
        <f t="shared" si="1"/>
        <v/>
      </c>
      <c r="I38" s="9" t="s">
        <v>243</v>
      </c>
      <c r="J38" s="9" t="s">
        <v>325</v>
      </c>
      <c r="K38" s="77" t="s">
        <v>328</v>
      </c>
    </row>
    <row r="39" spans="1:11" x14ac:dyDescent="0.3">
      <c r="A39" s="76" t="s">
        <v>2</v>
      </c>
      <c r="B39" s="13" t="s">
        <v>316</v>
      </c>
      <c r="C39" s="74">
        <v>1174</v>
      </c>
      <c r="D39" s="74">
        <v>6340</v>
      </c>
      <c r="E39" s="8" t="s">
        <v>43</v>
      </c>
      <c r="F39" s="75">
        <f t="shared" si="0"/>
        <v>0.18517350157728707</v>
      </c>
      <c r="G39" s="100" t="s">
        <v>526</v>
      </c>
      <c r="H39" s="15" t="str">
        <f t="shared" si="1"/>
        <v/>
      </c>
      <c r="I39" s="9" t="s">
        <v>243</v>
      </c>
      <c r="J39" s="9" t="s">
        <v>326</v>
      </c>
      <c r="K39" s="77" t="s">
        <v>328</v>
      </c>
    </row>
    <row r="40" spans="1:11" x14ac:dyDescent="0.3">
      <c r="A40" s="76" t="s">
        <v>2</v>
      </c>
      <c r="B40" s="13" t="s">
        <v>317</v>
      </c>
      <c r="C40" s="74">
        <v>1493</v>
      </c>
      <c r="D40" s="74">
        <v>5413</v>
      </c>
      <c r="E40" s="8" t="s">
        <v>43</v>
      </c>
      <c r="F40" s="75">
        <f t="shared" si="0"/>
        <v>0.27581747644559396</v>
      </c>
      <c r="G40" s="100" t="s">
        <v>325</v>
      </c>
      <c r="H40" s="15" t="str">
        <f t="shared" si="1"/>
        <v/>
      </c>
      <c r="I40" s="9" t="s">
        <v>243</v>
      </c>
      <c r="J40" s="9" t="s">
        <v>325</v>
      </c>
      <c r="K40" s="77" t="s">
        <v>329</v>
      </c>
    </row>
    <row r="41" spans="1:11" x14ac:dyDescent="0.3">
      <c r="A41" s="76" t="s">
        <v>2</v>
      </c>
      <c r="B41" s="13" t="s">
        <v>318</v>
      </c>
      <c r="C41" s="74">
        <v>1956</v>
      </c>
      <c r="D41" s="74">
        <v>5358</v>
      </c>
      <c r="E41" s="8" t="s">
        <v>43</v>
      </c>
      <c r="F41" s="75">
        <f t="shared" si="0"/>
        <v>0.36506159014557671</v>
      </c>
      <c r="G41" s="100" t="s">
        <v>325</v>
      </c>
      <c r="H41" s="15" t="str">
        <f t="shared" si="1"/>
        <v/>
      </c>
      <c r="I41" s="9" t="s">
        <v>243</v>
      </c>
      <c r="J41" s="9" t="s">
        <v>325</v>
      </c>
      <c r="K41" s="77" t="s">
        <v>328</v>
      </c>
    </row>
    <row r="42" spans="1:11" x14ac:dyDescent="0.3">
      <c r="A42" s="76" t="s">
        <v>2</v>
      </c>
      <c r="B42" s="13" t="s">
        <v>319</v>
      </c>
      <c r="C42" s="74">
        <v>967</v>
      </c>
      <c r="D42" s="74">
        <v>4360</v>
      </c>
      <c r="E42" s="8" t="s">
        <v>43</v>
      </c>
      <c r="F42" s="75">
        <f t="shared" si="0"/>
        <v>0.22178899082568806</v>
      </c>
      <c r="G42" s="100" t="s">
        <v>526</v>
      </c>
      <c r="H42" s="15" t="str">
        <f t="shared" si="1"/>
        <v/>
      </c>
      <c r="I42" s="9" t="s">
        <v>243</v>
      </c>
      <c r="J42" s="9" t="s">
        <v>326</v>
      </c>
      <c r="K42" s="77" t="s">
        <v>328</v>
      </c>
    </row>
    <row r="43" spans="1:11" x14ac:dyDescent="0.3">
      <c r="A43" s="76" t="s">
        <v>2</v>
      </c>
      <c r="B43" s="13" t="s">
        <v>320</v>
      </c>
      <c r="C43" s="74">
        <v>1586</v>
      </c>
      <c r="D43" s="74">
        <v>3646</v>
      </c>
      <c r="E43" s="8" t="s">
        <v>43</v>
      </c>
      <c r="F43" s="75">
        <f t="shared" si="0"/>
        <v>0.43499725726823918</v>
      </c>
      <c r="G43" s="100"/>
      <c r="H43" s="15" t="str">
        <f t="shared" si="1"/>
        <v/>
      </c>
      <c r="I43" s="9" t="s">
        <v>244</v>
      </c>
      <c r="J43" s="9" t="s">
        <v>325</v>
      </c>
      <c r="K43" s="77" t="s">
        <v>329</v>
      </c>
    </row>
    <row r="44" spans="1:11" x14ac:dyDescent="0.3">
      <c r="A44" s="76" t="s">
        <v>8</v>
      </c>
      <c r="B44" s="13" t="s">
        <v>243</v>
      </c>
      <c r="C44" s="74">
        <v>47300</v>
      </c>
      <c r="D44" s="74">
        <v>193570</v>
      </c>
      <c r="E44" s="8" t="s">
        <v>43</v>
      </c>
      <c r="F44" s="75">
        <f t="shared" ref="F44:F81" si="3">C44/D44</f>
        <v>0.24435604690809526</v>
      </c>
      <c r="G44" s="100"/>
      <c r="H44" s="15" t="str">
        <f t="shared" ref="H44:H81" si="4">IF(G44="Yes",F44,"")</f>
        <v/>
      </c>
      <c r="I44" s="9" t="s">
        <v>243</v>
      </c>
      <c r="J44" s="9" t="s">
        <v>325</v>
      </c>
      <c r="K44" s="77" t="s">
        <v>328</v>
      </c>
    </row>
    <row r="45" spans="1:11" x14ac:dyDescent="0.3">
      <c r="A45" s="76" t="s">
        <v>5</v>
      </c>
      <c r="B45" s="13" t="s">
        <v>274</v>
      </c>
      <c r="C45" s="74">
        <v>22690.800009999999</v>
      </c>
      <c r="D45" s="74">
        <v>116016.5</v>
      </c>
      <c r="E45" s="8" t="s">
        <v>43</v>
      </c>
      <c r="F45" s="75">
        <f t="shared" si="3"/>
        <v>0.19558252498567014</v>
      </c>
      <c r="G45" s="100"/>
      <c r="H45" s="15" t="str">
        <f t="shared" si="4"/>
        <v/>
      </c>
      <c r="I45" s="9" t="s">
        <v>243</v>
      </c>
      <c r="J45" s="9" t="s">
        <v>325</v>
      </c>
      <c r="K45" s="77" t="s">
        <v>328</v>
      </c>
    </row>
    <row r="46" spans="1:11" x14ac:dyDescent="0.3">
      <c r="A46" s="76" t="s">
        <v>5</v>
      </c>
      <c r="B46" s="13" t="s">
        <v>275</v>
      </c>
      <c r="C46" s="74">
        <v>19540.900000000001</v>
      </c>
      <c r="D46" s="74">
        <v>96134</v>
      </c>
      <c r="E46" s="8" t="s">
        <v>43</v>
      </c>
      <c r="F46" s="75">
        <f t="shared" si="3"/>
        <v>0.20326731437368675</v>
      </c>
      <c r="G46" s="100"/>
      <c r="H46" s="15" t="str">
        <f t="shared" si="4"/>
        <v/>
      </c>
      <c r="I46" s="9" t="s">
        <v>321</v>
      </c>
      <c r="J46" s="9" t="s">
        <v>325</v>
      </c>
      <c r="K46" s="77" t="s">
        <v>328</v>
      </c>
    </row>
    <row r="47" spans="1:11" x14ac:dyDescent="0.3">
      <c r="A47" s="76" t="s">
        <v>5</v>
      </c>
      <c r="B47" s="13" t="s">
        <v>276</v>
      </c>
      <c r="C47" s="74">
        <v>31022.598999999998</v>
      </c>
      <c r="D47" s="74">
        <v>82359</v>
      </c>
      <c r="E47" s="8" t="s">
        <v>43</v>
      </c>
      <c r="F47" s="75">
        <f t="shared" si="3"/>
        <v>0.37667527531903006</v>
      </c>
      <c r="G47" s="100"/>
      <c r="H47" s="15" t="str">
        <f t="shared" si="4"/>
        <v/>
      </c>
      <c r="I47" s="9" t="s">
        <v>243</v>
      </c>
      <c r="J47" s="9" t="s">
        <v>325</v>
      </c>
      <c r="K47" s="77" t="s">
        <v>328</v>
      </c>
    </row>
    <row r="48" spans="1:11" x14ac:dyDescent="0.3">
      <c r="A48" s="76" t="s">
        <v>6</v>
      </c>
      <c r="B48" s="13" t="s">
        <v>248</v>
      </c>
      <c r="C48" s="74">
        <v>5819</v>
      </c>
      <c r="D48" s="74">
        <v>46957</v>
      </c>
      <c r="E48" s="8" t="s">
        <v>43</v>
      </c>
      <c r="F48" s="75">
        <f t="shared" si="3"/>
        <v>0.12392188598079093</v>
      </c>
      <c r="G48" s="100" t="s">
        <v>325</v>
      </c>
      <c r="H48" s="15" t="str">
        <f t="shared" si="4"/>
        <v/>
      </c>
      <c r="I48" s="9" t="s">
        <v>243</v>
      </c>
      <c r="J48" s="9" t="s">
        <v>325</v>
      </c>
      <c r="K48" s="77" t="s">
        <v>328</v>
      </c>
    </row>
    <row r="49" spans="1:11" x14ac:dyDescent="0.3">
      <c r="A49" s="76" t="s">
        <v>5</v>
      </c>
      <c r="B49" s="13" t="s">
        <v>278</v>
      </c>
      <c r="C49" s="74">
        <v>6590</v>
      </c>
      <c r="D49" s="74">
        <v>34452</v>
      </c>
      <c r="E49" s="8" t="s">
        <v>43</v>
      </c>
      <c r="F49" s="75">
        <f t="shared" si="3"/>
        <v>0.19128062231510506</v>
      </c>
      <c r="G49" s="100"/>
      <c r="H49" s="15" t="str">
        <f t="shared" si="4"/>
        <v/>
      </c>
      <c r="I49" s="9" t="s">
        <v>321</v>
      </c>
      <c r="J49" s="9" t="s">
        <v>325</v>
      </c>
      <c r="K49" s="77" t="s">
        <v>328</v>
      </c>
    </row>
    <row r="50" spans="1:11" x14ac:dyDescent="0.3">
      <c r="A50" s="76" t="s">
        <v>5</v>
      </c>
      <c r="B50" s="13" t="s">
        <v>277</v>
      </c>
      <c r="C50" s="74">
        <v>43403.25</v>
      </c>
      <c r="D50" s="74">
        <v>39134</v>
      </c>
      <c r="E50" s="8" t="s">
        <v>43</v>
      </c>
      <c r="F50" s="75">
        <f t="shared" si="3"/>
        <v>1.1090931159605457</v>
      </c>
      <c r="G50" s="100"/>
      <c r="H50" s="15" t="str">
        <f t="shared" si="4"/>
        <v/>
      </c>
      <c r="I50" s="9" t="s">
        <v>243</v>
      </c>
      <c r="J50" s="9" t="s">
        <v>325</v>
      </c>
      <c r="K50" s="77" t="s">
        <v>328</v>
      </c>
    </row>
    <row r="51" spans="1:11" x14ac:dyDescent="0.3">
      <c r="A51" s="76" t="s">
        <v>5</v>
      </c>
      <c r="B51" s="13" t="s">
        <v>280</v>
      </c>
      <c r="C51" s="74">
        <v>2426.25</v>
      </c>
      <c r="D51" s="74">
        <v>16052</v>
      </c>
      <c r="E51" s="8" t="s">
        <v>43</v>
      </c>
      <c r="F51" s="75">
        <f t="shared" si="3"/>
        <v>0.15114938948417642</v>
      </c>
      <c r="G51" s="100"/>
      <c r="H51" s="15" t="str">
        <f t="shared" si="4"/>
        <v/>
      </c>
      <c r="I51" s="9" t="s">
        <v>321</v>
      </c>
      <c r="J51" s="9" t="s">
        <v>325</v>
      </c>
      <c r="K51" s="77" t="s">
        <v>328</v>
      </c>
    </row>
    <row r="52" spans="1:11" x14ac:dyDescent="0.3">
      <c r="A52" s="76" t="s">
        <v>5</v>
      </c>
      <c r="B52" s="13" t="s">
        <v>281</v>
      </c>
      <c r="C52" s="74">
        <v>4320.75</v>
      </c>
      <c r="D52" s="74">
        <v>16045</v>
      </c>
      <c r="E52" s="8" t="s">
        <v>43</v>
      </c>
      <c r="F52" s="75">
        <f t="shared" si="3"/>
        <v>0.26928949828607041</v>
      </c>
      <c r="G52" s="100"/>
      <c r="H52" s="15" t="str">
        <f t="shared" si="4"/>
        <v/>
      </c>
      <c r="I52" s="9" t="s">
        <v>321</v>
      </c>
      <c r="J52" s="9" t="s">
        <v>325</v>
      </c>
      <c r="K52" s="77" t="s">
        <v>328</v>
      </c>
    </row>
    <row r="53" spans="1:11" x14ac:dyDescent="0.3">
      <c r="A53" s="76" t="s">
        <v>10</v>
      </c>
      <c r="B53" s="13" t="s">
        <v>262</v>
      </c>
      <c r="C53" s="74">
        <v>4736</v>
      </c>
      <c r="D53" s="74">
        <v>10674.33</v>
      </c>
      <c r="E53" s="8" t="s">
        <v>43</v>
      </c>
      <c r="F53" s="75">
        <f t="shared" si="3"/>
        <v>0.44368124275715665</v>
      </c>
      <c r="G53" s="100"/>
      <c r="H53" s="15" t="str">
        <f t="shared" si="4"/>
        <v/>
      </c>
      <c r="I53" s="9" t="s">
        <v>322</v>
      </c>
      <c r="J53" s="9" t="s">
        <v>325</v>
      </c>
      <c r="K53" s="77" t="s">
        <v>328</v>
      </c>
    </row>
    <row r="54" spans="1:11" x14ac:dyDescent="0.3">
      <c r="A54" s="76" t="s">
        <v>10</v>
      </c>
      <c r="B54" s="13" t="s">
        <v>263</v>
      </c>
      <c r="C54" s="74">
        <v>3910</v>
      </c>
      <c r="D54" s="74">
        <v>8103.33</v>
      </c>
      <c r="E54" s="8" t="s">
        <v>43</v>
      </c>
      <c r="F54" s="75">
        <f t="shared" si="3"/>
        <v>0.48251768100274828</v>
      </c>
      <c r="G54" s="100"/>
      <c r="H54" s="15" t="str">
        <f t="shared" si="4"/>
        <v/>
      </c>
      <c r="I54" s="9" t="s">
        <v>322</v>
      </c>
      <c r="J54" s="9" t="s">
        <v>326</v>
      </c>
      <c r="K54" s="77" t="s">
        <v>328</v>
      </c>
    </row>
    <row r="55" spans="1:11" x14ac:dyDescent="0.3">
      <c r="A55" s="76" t="s">
        <v>10</v>
      </c>
      <c r="B55" s="13" t="s">
        <v>264</v>
      </c>
      <c r="C55" s="74">
        <v>2206</v>
      </c>
      <c r="D55" s="74">
        <v>7283.33</v>
      </c>
      <c r="E55" s="8" t="s">
        <v>43</v>
      </c>
      <c r="F55" s="75">
        <f t="shared" si="3"/>
        <v>0.30288343381392852</v>
      </c>
      <c r="G55" s="100"/>
      <c r="H55" s="15" t="str">
        <f t="shared" si="4"/>
        <v/>
      </c>
      <c r="I55" s="9" t="s">
        <v>322</v>
      </c>
      <c r="J55" s="9" t="s">
        <v>326</v>
      </c>
      <c r="K55" s="77" t="s">
        <v>328</v>
      </c>
    </row>
    <row r="56" spans="1:11" x14ac:dyDescent="0.3">
      <c r="A56" s="76" t="s">
        <v>10</v>
      </c>
      <c r="B56" s="13" t="s">
        <v>265</v>
      </c>
      <c r="C56" s="74">
        <v>5877</v>
      </c>
      <c r="D56" s="74">
        <v>5781.48</v>
      </c>
      <c r="E56" s="8" t="s">
        <v>43</v>
      </c>
      <c r="F56" s="75">
        <f t="shared" si="3"/>
        <v>1.0165217210817992</v>
      </c>
      <c r="G56" s="100"/>
      <c r="H56" s="15" t="str">
        <f t="shared" si="4"/>
        <v/>
      </c>
      <c r="I56" s="9" t="s">
        <v>322</v>
      </c>
      <c r="J56" s="9" t="s">
        <v>325</v>
      </c>
      <c r="K56" s="77" t="s">
        <v>328</v>
      </c>
    </row>
    <row r="57" spans="1:11" x14ac:dyDescent="0.3">
      <c r="A57" s="76" t="s">
        <v>6</v>
      </c>
      <c r="B57" s="13" t="s">
        <v>249</v>
      </c>
      <c r="C57" s="74">
        <v>3641</v>
      </c>
      <c r="D57" s="74">
        <v>26805</v>
      </c>
      <c r="E57" s="8" t="s">
        <v>43</v>
      </c>
      <c r="F57" s="75">
        <f t="shared" si="3"/>
        <v>0.13583286700242492</v>
      </c>
      <c r="G57" s="100" t="s">
        <v>526</v>
      </c>
      <c r="H57" s="15" t="str">
        <f t="shared" si="4"/>
        <v/>
      </c>
      <c r="I57" s="9" t="s">
        <v>243</v>
      </c>
      <c r="J57" s="9" t="s">
        <v>326</v>
      </c>
      <c r="K57" s="77" t="s">
        <v>328</v>
      </c>
    </row>
    <row r="58" spans="1:11" x14ac:dyDescent="0.3">
      <c r="A58" s="76" t="s">
        <v>10</v>
      </c>
      <c r="B58" s="13" t="s">
        <v>267</v>
      </c>
      <c r="C58" s="74">
        <v>2093</v>
      </c>
      <c r="D58" s="74">
        <v>1900.5</v>
      </c>
      <c r="E58" s="8" t="s">
        <v>43</v>
      </c>
      <c r="F58" s="75">
        <f t="shared" si="3"/>
        <v>1.1012891344383058</v>
      </c>
      <c r="G58" s="100"/>
      <c r="H58" s="15" t="str">
        <f t="shared" si="4"/>
        <v/>
      </c>
      <c r="I58" s="9" t="s">
        <v>244</v>
      </c>
      <c r="J58" s="9" t="s">
        <v>326</v>
      </c>
      <c r="K58" s="77" t="s">
        <v>328</v>
      </c>
    </row>
    <row r="59" spans="1:11" x14ac:dyDescent="0.3">
      <c r="A59" s="76" t="s">
        <v>10</v>
      </c>
      <c r="B59" s="13" t="s">
        <v>268</v>
      </c>
      <c r="C59" s="74">
        <v>1978</v>
      </c>
      <c r="D59" s="74">
        <v>1674</v>
      </c>
      <c r="E59" s="8" t="s">
        <v>43</v>
      </c>
      <c r="F59" s="75">
        <f t="shared" si="3"/>
        <v>1.1816009557945042</v>
      </c>
      <c r="G59" s="100"/>
      <c r="H59" s="15" t="str">
        <f t="shared" si="4"/>
        <v/>
      </c>
      <c r="I59" s="9" t="s">
        <v>322</v>
      </c>
      <c r="J59" s="9" t="s">
        <v>326</v>
      </c>
      <c r="K59" s="77" t="s">
        <v>328</v>
      </c>
    </row>
    <row r="60" spans="1:11" x14ac:dyDescent="0.3">
      <c r="A60" s="76" t="s">
        <v>10</v>
      </c>
      <c r="B60" s="13" t="s">
        <v>269</v>
      </c>
      <c r="C60" s="74">
        <v>1889</v>
      </c>
      <c r="D60" s="74">
        <v>1550</v>
      </c>
      <c r="E60" s="8" t="s">
        <v>43</v>
      </c>
      <c r="F60" s="75">
        <f t="shared" si="3"/>
        <v>1.2187096774193549</v>
      </c>
      <c r="G60" s="100"/>
      <c r="H60" s="15" t="str">
        <f t="shared" si="4"/>
        <v/>
      </c>
      <c r="I60" s="9" t="s">
        <v>322</v>
      </c>
      <c r="J60" s="9" t="s">
        <v>326</v>
      </c>
      <c r="K60" s="77" t="s">
        <v>328</v>
      </c>
    </row>
    <row r="61" spans="1:11" x14ac:dyDescent="0.3">
      <c r="A61" s="76" t="s">
        <v>10</v>
      </c>
      <c r="B61" s="13" t="s">
        <v>270</v>
      </c>
      <c r="C61" s="74">
        <v>1931</v>
      </c>
      <c r="D61" s="74">
        <v>941.22</v>
      </c>
      <c r="E61" s="8" t="s">
        <v>43</v>
      </c>
      <c r="F61" s="75">
        <f t="shared" si="3"/>
        <v>2.0515926138416098</v>
      </c>
      <c r="G61" s="100"/>
      <c r="H61" s="15" t="str">
        <f t="shared" si="4"/>
        <v/>
      </c>
      <c r="I61" s="9" t="s">
        <v>322</v>
      </c>
      <c r="J61" s="9" t="s">
        <v>326</v>
      </c>
      <c r="K61" s="77" t="s">
        <v>328</v>
      </c>
    </row>
    <row r="62" spans="1:11" x14ac:dyDescent="0.3">
      <c r="A62" s="76" t="s">
        <v>10</v>
      </c>
      <c r="B62" s="13" t="s">
        <v>271</v>
      </c>
      <c r="C62" s="74">
        <v>1552</v>
      </c>
      <c r="D62" s="74">
        <v>698.15</v>
      </c>
      <c r="E62" s="8" t="s">
        <v>43</v>
      </c>
      <c r="F62" s="75">
        <f t="shared" si="3"/>
        <v>2.2230179760796389</v>
      </c>
      <c r="G62" s="100"/>
      <c r="H62" s="15" t="str">
        <f t="shared" si="4"/>
        <v/>
      </c>
      <c r="I62" s="9" t="s">
        <v>322</v>
      </c>
      <c r="J62" s="9" t="s">
        <v>326</v>
      </c>
      <c r="K62" s="77" t="s">
        <v>328</v>
      </c>
    </row>
    <row r="63" spans="1:11" x14ac:dyDescent="0.3">
      <c r="A63" s="76" t="s">
        <v>10</v>
      </c>
      <c r="B63" s="13" t="s">
        <v>272</v>
      </c>
      <c r="C63" s="74">
        <v>1171</v>
      </c>
      <c r="D63" s="74">
        <v>530.47</v>
      </c>
      <c r="E63" s="8" t="s">
        <v>43</v>
      </c>
      <c r="F63" s="75">
        <f t="shared" si="3"/>
        <v>2.2074763888627067</v>
      </c>
      <c r="G63" s="100"/>
      <c r="H63" s="15" t="str">
        <f t="shared" si="4"/>
        <v/>
      </c>
      <c r="I63" s="9" t="s">
        <v>322</v>
      </c>
      <c r="J63" s="9" t="s">
        <v>326</v>
      </c>
      <c r="K63" s="77" t="s">
        <v>328</v>
      </c>
    </row>
    <row r="64" spans="1:11" x14ac:dyDescent="0.3">
      <c r="A64" s="76" t="s">
        <v>5</v>
      </c>
      <c r="B64" s="13" t="s">
        <v>279</v>
      </c>
      <c r="C64" s="74">
        <v>3372</v>
      </c>
      <c r="D64" s="74">
        <v>24972</v>
      </c>
      <c r="E64" s="8" t="s">
        <v>43</v>
      </c>
      <c r="F64" s="75">
        <f t="shared" si="3"/>
        <v>0.13503123498318118</v>
      </c>
      <c r="G64" s="100"/>
      <c r="H64" s="15" t="str">
        <f t="shared" si="4"/>
        <v/>
      </c>
      <c r="I64" s="9" t="s">
        <v>243</v>
      </c>
      <c r="J64" s="9" t="s">
        <v>325</v>
      </c>
      <c r="K64" s="77" t="s">
        <v>328</v>
      </c>
    </row>
    <row r="65" spans="1:11" x14ac:dyDescent="0.3">
      <c r="A65" s="76" t="s">
        <v>6</v>
      </c>
      <c r="B65" s="13" t="s">
        <v>250</v>
      </c>
      <c r="C65" s="74">
        <v>9398</v>
      </c>
      <c r="D65" s="74">
        <v>18226</v>
      </c>
      <c r="E65" s="8" t="s">
        <v>43</v>
      </c>
      <c r="F65" s="75">
        <f t="shared" si="3"/>
        <v>0.51563700208493357</v>
      </c>
      <c r="G65" s="100" t="s">
        <v>526</v>
      </c>
      <c r="H65" s="15" t="str">
        <f t="shared" si="4"/>
        <v/>
      </c>
      <c r="I65" s="9" t="s">
        <v>243</v>
      </c>
      <c r="J65" s="9" t="s">
        <v>326</v>
      </c>
      <c r="K65" s="77" t="s">
        <v>328</v>
      </c>
    </row>
    <row r="66" spans="1:11" x14ac:dyDescent="0.3">
      <c r="A66" s="76" t="s">
        <v>7</v>
      </c>
      <c r="B66" s="13" t="s">
        <v>253</v>
      </c>
      <c r="C66" s="74">
        <v>3718</v>
      </c>
      <c r="D66" s="74">
        <v>15442</v>
      </c>
      <c r="E66" s="8" t="s">
        <v>43</v>
      </c>
      <c r="F66" s="75">
        <f t="shared" si="3"/>
        <v>0.24077192073565601</v>
      </c>
      <c r="G66" s="100" t="s">
        <v>325</v>
      </c>
      <c r="H66" s="15" t="str">
        <f t="shared" si="4"/>
        <v/>
      </c>
      <c r="I66" s="9" t="s">
        <v>243</v>
      </c>
      <c r="J66" s="9" t="s">
        <v>325</v>
      </c>
      <c r="K66" s="77" t="s">
        <v>329</v>
      </c>
    </row>
    <row r="67" spans="1:11" x14ac:dyDescent="0.3">
      <c r="A67" s="76" t="s">
        <v>6</v>
      </c>
      <c r="B67" s="13" t="s">
        <v>251</v>
      </c>
      <c r="C67" s="74">
        <v>5094</v>
      </c>
      <c r="D67" s="74">
        <v>13562</v>
      </c>
      <c r="E67" s="8" t="s">
        <v>43</v>
      </c>
      <c r="F67" s="75">
        <f t="shared" si="3"/>
        <v>0.37560831735732192</v>
      </c>
      <c r="G67" s="100"/>
      <c r="H67" s="15" t="str">
        <f t="shared" si="4"/>
        <v/>
      </c>
      <c r="I67" s="9" t="s">
        <v>244</v>
      </c>
      <c r="J67" s="9" t="s">
        <v>325</v>
      </c>
      <c r="K67" s="77" t="s">
        <v>328</v>
      </c>
    </row>
    <row r="68" spans="1:11" x14ac:dyDescent="0.3">
      <c r="A68" s="76" t="s">
        <v>7</v>
      </c>
      <c r="B68" s="13" t="s">
        <v>254</v>
      </c>
      <c r="C68" s="74">
        <v>2150</v>
      </c>
      <c r="D68" s="74">
        <v>13790</v>
      </c>
      <c r="E68" s="8" t="s">
        <v>43</v>
      </c>
      <c r="F68" s="75">
        <f t="shared" si="3"/>
        <v>0.1559100797679478</v>
      </c>
      <c r="G68" s="100" t="s">
        <v>325</v>
      </c>
      <c r="H68" s="15" t="str">
        <f t="shared" si="4"/>
        <v/>
      </c>
      <c r="I68" s="9" t="s">
        <v>243</v>
      </c>
      <c r="J68" s="9" t="s">
        <v>325</v>
      </c>
      <c r="K68" s="77" t="s">
        <v>328</v>
      </c>
    </row>
    <row r="69" spans="1:11" x14ac:dyDescent="0.3">
      <c r="A69" s="76" t="s">
        <v>14</v>
      </c>
      <c r="B69" s="13" t="s">
        <v>245</v>
      </c>
      <c r="C69" s="74">
        <v>1923</v>
      </c>
      <c r="D69" s="74">
        <v>8838.41</v>
      </c>
      <c r="E69" s="8" t="s">
        <v>43</v>
      </c>
      <c r="F69" s="75">
        <f t="shared" si="3"/>
        <v>0.21757307026942629</v>
      </c>
      <c r="G69" s="100" t="s">
        <v>526</v>
      </c>
      <c r="H69" s="15" t="str">
        <f t="shared" si="4"/>
        <v/>
      </c>
      <c r="I69" s="9" t="s">
        <v>243</v>
      </c>
      <c r="J69" s="9" t="s">
        <v>326</v>
      </c>
      <c r="K69" s="77" t="s">
        <v>330</v>
      </c>
    </row>
    <row r="70" spans="1:11" x14ac:dyDescent="0.3">
      <c r="A70" s="76" t="s">
        <v>14</v>
      </c>
      <c r="B70" s="13" t="s">
        <v>246</v>
      </c>
      <c r="C70" s="74">
        <v>834</v>
      </c>
      <c r="D70" s="74">
        <v>7779.43</v>
      </c>
      <c r="E70" s="8" t="s">
        <v>43</v>
      </c>
      <c r="F70" s="75">
        <f t="shared" si="3"/>
        <v>0.10720579785408442</v>
      </c>
      <c r="G70" s="100" t="s">
        <v>526</v>
      </c>
      <c r="H70" s="15" t="str">
        <f t="shared" si="4"/>
        <v/>
      </c>
      <c r="I70" s="9" t="s">
        <v>243</v>
      </c>
      <c r="J70" s="9" t="s">
        <v>326</v>
      </c>
      <c r="K70" s="77" t="s">
        <v>330</v>
      </c>
    </row>
    <row r="71" spans="1:11" x14ac:dyDescent="0.3">
      <c r="A71" s="76" t="s">
        <v>7</v>
      </c>
      <c r="B71" s="13" t="s">
        <v>255</v>
      </c>
      <c r="C71" s="74">
        <v>2637</v>
      </c>
      <c r="D71" s="74">
        <v>13752</v>
      </c>
      <c r="E71" s="8" t="s">
        <v>43</v>
      </c>
      <c r="F71" s="75">
        <f t="shared" si="3"/>
        <v>0.19175392670157068</v>
      </c>
      <c r="G71" s="100"/>
      <c r="H71" s="15" t="str">
        <f t="shared" si="4"/>
        <v/>
      </c>
      <c r="I71" s="9" t="s">
        <v>323</v>
      </c>
      <c r="J71" s="9" t="s">
        <v>325</v>
      </c>
      <c r="K71" s="77" t="s">
        <v>329</v>
      </c>
    </row>
    <row r="72" spans="1:11" x14ac:dyDescent="0.3">
      <c r="A72" s="76" t="s">
        <v>7</v>
      </c>
      <c r="B72" s="13" t="s">
        <v>256</v>
      </c>
      <c r="C72" s="74">
        <v>4265</v>
      </c>
      <c r="D72" s="74">
        <v>9594</v>
      </c>
      <c r="E72" s="8" t="s">
        <v>43</v>
      </c>
      <c r="F72" s="75">
        <f t="shared" si="3"/>
        <v>0.44454867625599331</v>
      </c>
      <c r="G72" s="100"/>
      <c r="H72" s="15" t="str">
        <f t="shared" si="4"/>
        <v/>
      </c>
      <c r="I72" s="9" t="s">
        <v>244</v>
      </c>
      <c r="J72" s="9" t="s">
        <v>325</v>
      </c>
      <c r="K72" s="77" t="s">
        <v>329</v>
      </c>
    </row>
    <row r="73" spans="1:11" x14ac:dyDescent="0.3">
      <c r="A73" s="76" t="s">
        <v>7</v>
      </c>
      <c r="B73" s="13" t="s">
        <v>257</v>
      </c>
      <c r="C73" s="74">
        <v>7106</v>
      </c>
      <c r="D73" s="74">
        <v>7248</v>
      </c>
      <c r="E73" s="8" t="s">
        <v>43</v>
      </c>
      <c r="F73" s="75">
        <f t="shared" si="3"/>
        <v>0.98040838852097134</v>
      </c>
      <c r="G73" s="100" t="s">
        <v>325</v>
      </c>
      <c r="H73" s="15" t="str">
        <f t="shared" si="4"/>
        <v/>
      </c>
      <c r="I73" s="9" t="s">
        <v>243</v>
      </c>
      <c r="J73" s="9" t="s">
        <v>325</v>
      </c>
      <c r="K73" s="77" t="s">
        <v>329</v>
      </c>
    </row>
    <row r="74" spans="1:11" x14ac:dyDescent="0.3">
      <c r="A74" s="76" t="s">
        <v>7</v>
      </c>
      <c r="B74" s="13" t="s">
        <v>258</v>
      </c>
      <c r="C74" s="74">
        <v>58</v>
      </c>
      <c r="D74" s="74">
        <v>6553</v>
      </c>
      <c r="E74" s="8" t="s">
        <v>43</v>
      </c>
      <c r="F74" s="75">
        <f t="shared" si="3"/>
        <v>8.8509079810773685E-3</v>
      </c>
      <c r="G74" s="100"/>
      <c r="H74" s="15" t="str">
        <f t="shared" si="4"/>
        <v/>
      </c>
      <c r="I74" s="9" t="s">
        <v>244</v>
      </c>
      <c r="J74" s="9" t="s">
        <v>325</v>
      </c>
      <c r="K74" s="77" t="s">
        <v>329</v>
      </c>
    </row>
    <row r="75" spans="1:11" x14ac:dyDescent="0.3">
      <c r="A75" s="76" t="s">
        <v>7</v>
      </c>
      <c r="B75" s="13" t="s">
        <v>259</v>
      </c>
      <c r="C75" s="74">
        <v>165.2</v>
      </c>
      <c r="D75" s="74">
        <v>6528</v>
      </c>
      <c r="E75" s="8" t="s">
        <v>43</v>
      </c>
      <c r="F75" s="75">
        <f t="shared" si="3"/>
        <v>2.5306372549019605E-2</v>
      </c>
      <c r="G75" s="100"/>
      <c r="H75" s="15" t="str">
        <f t="shared" si="4"/>
        <v/>
      </c>
      <c r="I75" s="9" t="s">
        <v>244</v>
      </c>
      <c r="J75" s="9" t="s">
        <v>325</v>
      </c>
      <c r="K75" s="77" t="s">
        <v>328</v>
      </c>
    </row>
    <row r="76" spans="1:11" x14ac:dyDescent="0.3">
      <c r="A76" s="76" t="s">
        <v>7</v>
      </c>
      <c r="B76" s="13" t="s">
        <v>260</v>
      </c>
      <c r="C76" s="74">
        <v>2264</v>
      </c>
      <c r="D76" s="74">
        <v>4599</v>
      </c>
      <c r="E76" s="8" t="s">
        <v>43</v>
      </c>
      <c r="F76" s="75">
        <f t="shared" si="3"/>
        <v>0.49228093063709499</v>
      </c>
      <c r="G76" s="100"/>
      <c r="H76" s="15" t="str">
        <f t="shared" si="4"/>
        <v/>
      </c>
      <c r="I76" s="9" t="s">
        <v>244</v>
      </c>
      <c r="J76" s="9" t="s">
        <v>325</v>
      </c>
      <c r="K76" s="77" t="s">
        <v>329</v>
      </c>
    </row>
    <row r="77" spans="1:11" x14ac:dyDescent="0.3">
      <c r="A77" s="76" t="s">
        <v>7</v>
      </c>
      <c r="B77" s="13" t="s">
        <v>261</v>
      </c>
      <c r="C77" s="74">
        <v>1858</v>
      </c>
      <c r="D77" s="74">
        <v>4462</v>
      </c>
      <c r="E77" s="8" t="s">
        <v>43</v>
      </c>
      <c r="F77" s="75">
        <f t="shared" si="3"/>
        <v>0.41640519946212462</v>
      </c>
      <c r="G77" s="100"/>
      <c r="H77" s="15" t="str">
        <f t="shared" si="4"/>
        <v/>
      </c>
      <c r="I77" s="9" t="s">
        <v>324</v>
      </c>
      <c r="J77" s="9" t="s">
        <v>325</v>
      </c>
      <c r="K77" s="77" t="s">
        <v>329</v>
      </c>
    </row>
    <row r="78" spans="1:11" x14ac:dyDescent="0.3">
      <c r="A78" s="76" t="s">
        <v>242</v>
      </c>
      <c r="B78" s="13" t="s">
        <v>273</v>
      </c>
      <c r="C78" s="74">
        <v>1421</v>
      </c>
      <c r="D78" s="74">
        <v>4843</v>
      </c>
      <c r="E78" s="8" t="s">
        <v>43</v>
      </c>
      <c r="F78" s="75">
        <f t="shared" si="3"/>
        <v>0.29341317365269459</v>
      </c>
      <c r="G78" s="100"/>
      <c r="H78" s="15" t="str">
        <f t="shared" si="4"/>
        <v/>
      </c>
      <c r="I78" s="9" t="s">
        <v>243</v>
      </c>
      <c r="J78" s="9" t="s">
        <v>326</v>
      </c>
      <c r="K78" s="77" t="s">
        <v>328</v>
      </c>
    </row>
    <row r="79" spans="1:11" x14ac:dyDescent="0.3">
      <c r="A79" s="76" t="s">
        <v>8</v>
      </c>
      <c r="B79" s="13" t="s">
        <v>244</v>
      </c>
      <c r="C79" s="74">
        <v>3692</v>
      </c>
      <c r="D79" s="74">
        <v>125680</v>
      </c>
      <c r="E79" s="8" t="s">
        <v>43</v>
      </c>
      <c r="F79" s="75">
        <f t="shared" si="3"/>
        <v>2.9376193507320177E-2</v>
      </c>
      <c r="G79" s="100"/>
      <c r="H79" s="15" t="str">
        <f t="shared" si="4"/>
        <v/>
      </c>
      <c r="I79" s="9" t="s">
        <v>244</v>
      </c>
      <c r="J79" s="9" t="s">
        <v>325</v>
      </c>
      <c r="K79" s="77" t="s">
        <v>328</v>
      </c>
    </row>
    <row r="80" spans="1:11" x14ac:dyDescent="0.3">
      <c r="A80" s="76" t="s">
        <v>10</v>
      </c>
      <c r="B80" s="13" t="s">
        <v>266</v>
      </c>
      <c r="C80" s="74">
        <v>2787</v>
      </c>
      <c r="D80" s="74">
        <v>2640</v>
      </c>
      <c r="E80" s="8" t="s">
        <v>43</v>
      </c>
      <c r="F80" s="75">
        <f t="shared" si="3"/>
        <v>1.0556818181818182</v>
      </c>
      <c r="G80" s="100"/>
      <c r="H80" s="15" t="str">
        <f t="shared" si="4"/>
        <v/>
      </c>
      <c r="I80" s="9" t="s">
        <v>243</v>
      </c>
      <c r="J80" s="9" t="s">
        <v>326</v>
      </c>
      <c r="K80" s="77" t="s">
        <v>328</v>
      </c>
    </row>
    <row r="81" spans="1:11" x14ac:dyDescent="0.3">
      <c r="A81" s="76" t="s">
        <v>6</v>
      </c>
      <c r="B81" s="13" t="s">
        <v>252</v>
      </c>
      <c r="C81" s="74">
        <v>2948</v>
      </c>
      <c r="D81" s="74">
        <v>1440</v>
      </c>
      <c r="E81" s="8" t="s">
        <v>43</v>
      </c>
      <c r="F81" s="75">
        <f t="shared" si="3"/>
        <v>2.0472222222222221</v>
      </c>
      <c r="G81" s="100" t="s">
        <v>526</v>
      </c>
      <c r="H81" s="15" t="str">
        <f t="shared" si="4"/>
        <v/>
      </c>
      <c r="I81" s="9" t="s">
        <v>243</v>
      </c>
      <c r="J81" s="9" t="s">
        <v>326</v>
      </c>
      <c r="K81" s="77" t="s">
        <v>328</v>
      </c>
    </row>
    <row r="82" spans="1:11" x14ac:dyDescent="0.3">
      <c r="A82" s="76" t="s">
        <v>14</v>
      </c>
      <c r="B82" s="13" t="s">
        <v>247</v>
      </c>
      <c r="C82" s="74">
        <v>6151</v>
      </c>
      <c r="D82" s="74">
        <v>4766.54</v>
      </c>
      <c r="E82" s="8" t="s">
        <v>43</v>
      </c>
      <c r="F82" s="75">
        <f t="shared" ref="F82" si="5">C82/D82</f>
        <v>1.2904538722007997</v>
      </c>
      <c r="G82" s="100"/>
      <c r="H82" s="15" t="str">
        <f t="shared" si="1"/>
        <v/>
      </c>
      <c r="I82" s="9" t="s">
        <v>322</v>
      </c>
      <c r="J82" s="9" t="s">
        <v>326</v>
      </c>
      <c r="K82" s="77" t="s">
        <v>330</v>
      </c>
    </row>
    <row r="83" spans="1:11" x14ac:dyDescent="0.3">
      <c r="A83" s="81"/>
      <c r="B83" s="82"/>
      <c r="C83" s="82"/>
      <c r="D83" s="82"/>
      <c r="E83" s="83"/>
      <c r="F83" s="84"/>
      <c r="G83" s="104"/>
      <c r="H83" s="84"/>
      <c r="I83" s="84"/>
      <c r="J83" s="84"/>
      <c r="K83" s="85"/>
    </row>
    <row r="85" spans="1:11" x14ac:dyDescent="0.3">
      <c r="A85" s="10" t="s">
        <v>331</v>
      </c>
      <c r="B85" s="10" t="s">
        <v>332</v>
      </c>
      <c r="C85" s="10" t="s">
        <v>68</v>
      </c>
      <c r="D85" s="10" t="s">
        <v>63</v>
      </c>
      <c r="E85" s="10" t="s">
        <v>18</v>
      </c>
      <c r="F85" s="10" t="s">
        <v>64</v>
      </c>
      <c r="G85" s="166" t="s">
        <v>19</v>
      </c>
      <c r="H85" s="167"/>
      <c r="I85" s="10" t="s">
        <v>239</v>
      </c>
      <c r="J85" s="10" t="s">
        <v>327</v>
      </c>
      <c r="K85" s="10" t="s">
        <v>241</v>
      </c>
    </row>
    <row r="86" spans="1:11" x14ac:dyDescent="0.3">
      <c r="A86" s="105" t="s">
        <v>542</v>
      </c>
      <c r="B86" s="105"/>
      <c r="C86" s="74">
        <f>IF(D86="","",D86*F86)</f>
        <v>2152.1120000000001</v>
      </c>
      <c r="D86" s="106">
        <v>6080</v>
      </c>
      <c r="E86" s="37" t="s">
        <v>43</v>
      </c>
      <c r="F86" s="107">
        <f>((0.1864*D86)+1018.8)/D86</f>
        <v>0.35396578947368423</v>
      </c>
      <c r="G86" s="164" t="s">
        <v>550</v>
      </c>
      <c r="H86" s="165"/>
      <c r="I86" s="37" t="s">
        <v>243</v>
      </c>
      <c r="J86" s="37" t="s">
        <v>325</v>
      </c>
      <c r="K86" s="37" t="s">
        <v>328</v>
      </c>
    </row>
    <row r="87" spans="1:11" x14ac:dyDescent="0.3">
      <c r="A87" s="105" t="s">
        <v>543</v>
      </c>
      <c r="B87" s="105"/>
      <c r="C87" s="74">
        <f t="shared" ref="C87:C100" si="6">IF(D87="","",D87*F87)</f>
        <v>2442.1504</v>
      </c>
      <c r="D87" s="106">
        <v>7636</v>
      </c>
      <c r="E87" s="37" t="s">
        <v>43</v>
      </c>
      <c r="F87" s="107">
        <f t="shared" ref="F87:F92" si="7">((0.1864*D87)+1018.8)/D87</f>
        <v>0.31982063907805136</v>
      </c>
      <c r="G87" s="164" t="s">
        <v>550</v>
      </c>
      <c r="H87" s="165"/>
      <c r="I87" s="37" t="s">
        <v>243</v>
      </c>
      <c r="J87" s="37" t="s">
        <v>325</v>
      </c>
      <c r="K87" s="37" t="s">
        <v>328</v>
      </c>
    </row>
    <row r="88" spans="1:11" x14ac:dyDescent="0.3">
      <c r="A88" s="105" t="s">
        <v>544</v>
      </c>
      <c r="B88" s="105"/>
      <c r="C88" s="74">
        <f t="shared" si="6"/>
        <v>3132.3896000000004</v>
      </c>
      <c r="D88" s="106">
        <v>11339</v>
      </c>
      <c r="E88" s="37" t="s">
        <v>43</v>
      </c>
      <c r="F88" s="107">
        <f t="shared" si="7"/>
        <v>0.27624919305053358</v>
      </c>
      <c r="G88" s="164" t="s">
        <v>550</v>
      </c>
      <c r="H88" s="165"/>
      <c r="I88" s="37" t="s">
        <v>243</v>
      </c>
      <c r="J88" s="37" t="s">
        <v>325</v>
      </c>
      <c r="K88" s="37" t="s">
        <v>328</v>
      </c>
    </row>
    <row r="89" spans="1:11" x14ac:dyDescent="0.3">
      <c r="A89" s="105" t="s">
        <v>545</v>
      </c>
      <c r="B89" s="105"/>
      <c r="C89" s="74">
        <f t="shared" si="6"/>
        <v>1502.508</v>
      </c>
      <c r="D89" s="106">
        <v>2595</v>
      </c>
      <c r="E89" s="37" t="s">
        <v>43</v>
      </c>
      <c r="F89" s="107">
        <f t="shared" si="7"/>
        <v>0.5790011560693642</v>
      </c>
      <c r="G89" s="164" t="s">
        <v>550</v>
      </c>
      <c r="H89" s="165"/>
      <c r="I89" s="37" t="s">
        <v>243</v>
      </c>
      <c r="J89" s="37" t="s">
        <v>325</v>
      </c>
      <c r="K89" s="37" t="s">
        <v>328</v>
      </c>
    </row>
    <row r="90" spans="1:11" x14ac:dyDescent="0.3">
      <c r="A90" s="105" t="s">
        <v>546</v>
      </c>
      <c r="B90" s="105"/>
      <c r="C90" s="74">
        <f t="shared" si="6"/>
        <v>2370.1999999999998</v>
      </c>
      <c r="D90" s="106">
        <v>7250</v>
      </c>
      <c r="E90" s="37" t="s">
        <v>43</v>
      </c>
      <c r="F90" s="107">
        <f t="shared" si="7"/>
        <v>0.32692413793103448</v>
      </c>
      <c r="G90" s="164" t="s">
        <v>550</v>
      </c>
      <c r="H90" s="165"/>
      <c r="I90" s="37" t="s">
        <v>243</v>
      </c>
      <c r="J90" s="37" t="s">
        <v>325</v>
      </c>
      <c r="K90" s="37" t="s">
        <v>328</v>
      </c>
    </row>
    <row r="91" spans="1:11" x14ac:dyDescent="0.3">
      <c r="A91" s="105" t="s">
        <v>547</v>
      </c>
      <c r="B91" s="105"/>
      <c r="C91" s="74">
        <f t="shared" si="6"/>
        <v>2241.5839999999998</v>
      </c>
      <c r="D91" s="106">
        <v>6560</v>
      </c>
      <c r="E91" s="37" t="s">
        <v>43</v>
      </c>
      <c r="F91" s="107">
        <f t="shared" si="7"/>
        <v>0.34170487804878047</v>
      </c>
      <c r="G91" s="164" t="s">
        <v>550</v>
      </c>
      <c r="H91" s="165"/>
      <c r="I91" s="37" t="s">
        <v>243</v>
      </c>
      <c r="J91" s="37" t="s">
        <v>325</v>
      </c>
      <c r="K91" s="37" t="s">
        <v>328</v>
      </c>
    </row>
    <row r="92" spans="1:11" x14ac:dyDescent="0.3">
      <c r="A92" s="105" t="s">
        <v>548</v>
      </c>
      <c r="B92" s="105"/>
      <c r="C92" s="74">
        <f t="shared" si="6"/>
        <v>2683.3519999999999</v>
      </c>
      <c r="D92" s="106">
        <v>8930</v>
      </c>
      <c r="E92" s="37" t="s">
        <v>43</v>
      </c>
      <c r="F92" s="107">
        <f t="shared" si="7"/>
        <v>0.30048734602463606</v>
      </c>
      <c r="G92" s="164" t="s">
        <v>550</v>
      </c>
      <c r="H92" s="165"/>
      <c r="I92" s="37" t="s">
        <v>243</v>
      </c>
      <c r="J92" s="37" t="s">
        <v>325</v>
      </c>
      <c r="K92" s="37" t="s">
        <v>328</v>
      </c>
    </row>
    <row r="93" spans="1:11" x14ac:dyDescent="0.3">
      <c r="A93" s="105" t="s">
        <v>549</v>
      </c>
      <c r="B93" s="105"/>
      <c r="C93" s="74">
        <f t="shared" si="6"/>
        <v>4715.9250000000002</v>
      </c>
      <c r="D93" s="106">
        <v>175750</v>
      </c>
      <c r="E93" s="37" t="s">
        <v>43</v>
      </c>
      <c r="F93" s="107">
        <f>((0.0147*D93)+2132.4)/D93</f>
        <v>2.6833143669985775E-2</v>
      </c>
      <c r="G93" s="164" t="s">
        <v>551</v>
      </c>
      <c r="H93" s="165"/>
      <c r="I93" s="37" t="s">
        <v>243</v>
      </c>
      <c r="J93" s="37" t="s">
        <v>325</v>
      </c>
      <c r="K93" s="37" t="s">
        <v>328</v>
      </c>
    </row>
    <row r="94" spans="1:11" x14ac:dyDescent="0.3">
      <c r="A94" s="105"/>
      <c r="B94" s="105"/>
      <c r="C94" s="74" t="str">
        <f t="shared" si="6"/>
        <v/>
      </c>
      <c r="D94" s="106"/>
      <c r="E94" s="37" t="s">
        <v>43</v>
      </c>
      <c r="F94" s="107"/>
      <c r="G94" s="164"/>
      <c r="H94" s="165"/>
      <c r="I94" s="37"/>
      <c r="J94" s="37" t="s">
        <v>325</v>
      </c>
      <c r="K94" s="37" t="s">
        <v>527</v>
      </c>
    </row>
    <row r="95" spans="1:11" x14ac:dyDescent="0.3">
      <c r="A95" s="105"/>
      <c r="B95" s="105"/>
      <c r="C95" s="74" t="str">
        <f t="shared" si="6"/>
        <v/>
      </c>
      <c r="D95" s="106"/>
      <c r="E95" s="37" t="s">
        <v>43</v>
      </c>
      <c r="F95" s="107"/>
      <c r="G95" s="164"/>
      <c r="H95" s="165"/>
      <c r="I95" s="37" t="s">
        <v>243</v>
      </c>
      <c r="J95" s="37" t="s">
        <v>325</v>
      </c>
      <c r="K95" s="37" t="s">
        <v>328</v>
      </c>
    </row>
    <row r="96" spans="1:11" x14ac:dyDescent="0.3">
      <c r="A96" s="105"/>
      <c r="B96" s="105"/>
      <c r="C96" s="74" t="str">
        <f t="shared" si="6"/>
        <v/>
      </c>
      <c r="D96" s="106"/>
      <c r="E96" s="37" t="s">
        <v>43</v>
      </c>
      <c r="F96" s="107"/>
      <c r="G96" s="164"/>
      <c r="H96" s="165"/>
      <c r="I96" s="37" t="s">
        <v>243</v>
      </c>
      <c r="J96" s="37" t="s">
        <v>325</v>
      </c>
      <c r="K96" s="37" t="s">
        <v>328</v>
      </c>
    </row>
    <row r="97" spans="1:11" x14ac:dyDescent="0.3">
      <c r="A97" s="105"/>
      <c r="B97" s="105"/>
      <c r="C97" s="74" t="str">
        <f t="shared" si="6"/>
        <v/>
      </c>
      <c r="D97" s="106"/>
      <c r="E97" s="37" t="s">
        <v>43</v>
      </c>
      <c r="F97" s="107"/>
      <c r="G97" s="164"/>
      <c r="H97" s="165"/>
      <c r="I97" s="37" t="s">
        <v>244</v>
      </c>
      <c r="J97" s="37" t="s">
        <v>526</v>
      </c>
      <c r="K97" s="37" t="s">
        <v>328</v>
      </c>
    </row>
    <row r="98" spans="1:11" x14ac:dyDescent="0.3">
      <c r="A98" s="105"/>
      <c r="B98" s="105"/>
      <c r="C98" s="74" t="str">
        <f t="shared" si="6"/>
        <v/>
      </c>
      <c r="D98" s="106"/>
      <c r="E98" s="37" t="s">
        <v>43</v>
      </c>
      <c r="F98" s="107"/>
      <c r="G98" s="164"/>
      <c r="H98" s="165"/>
      <c r="I98" s="37" t="s">
        <v>244</v>
      </c>
      <c r="J98" s="37" t="s">
        <v>526</v>
      </c>
      <c r="K98" s="37" t="s">
        <v>328</v>
      </c>
    </row>
    <row r="99" spans="1:11" x14ac:dyDescent="0.3">
      <c r="A99" s="105"/>
      <c r="B99" s="105"/>
      <c r="C99" s="74" t="str">
        <f t="shared" si="6"/>
        <v/>
      </c>
      <c r="D99" s="106"/>
      <c r="E99" s="37" t="s">
        <v>43</v>
      </c>
      <c r="F99" s="107"/>
      <c r="G99" s="164"/>
      <c r="H99" s="165"/>
      <c r="I99" s="37" t="s">
        <v>243</v>
      </c>
      <c r="J99" s="37" t="s">
        <v>526</v>
      </c>
      <c r="K99" s="37" t="s">
        <v>328</v>
      </c>
    </row>
    <row r="100" spans="1:11" x14ac:dyDescent="0.3">
      <c r="A100" s="105"/>
      <c r="B100" s="105"/>
      <c r="C100" s="74" t="str">
        <f t="shared" si="6"/>
        <v/>
      </c>
      <c r="D100" s="106"/>
      <c r="E100" s="37" t="s">
        <v>43</v>
      </c>
      <c r="F100" s="107"/>
      <c r="G100" s="164"/>
      <c r="H100" s="165"/>
      <c r="I100" s="37" t="s">
        <v>243</v>
      </c>
      <c r="J100" s="37" t="s">
        <v>526</v>
      </c>
      <c r="K100" s="37" t="s">
        <v>328</v>
      </c>
    </row>
    <row r="101" spans="1:11" x14ac:dyDescent="0.3">
      <c r="A101" s="163" t="s">
        <v>234</v>
      </c>
      <c r="B101" s="163"/>
      <c r="C101" s="86">
        <f>SUM(C86:C100)</f>
        <v>21240.220999999998</v>
      </c>
      <c r="D101" s="86">
        <f>SUM(D86:D100)</f>
        <v>226140</v>
      </c>
      <c r="E101" s="10" t="s">
        <v>43</v>
      </c>
    </row>
    <row r="125" spans="2:5" x14ac:dyDescent="0.3">
      <c r="B125" s="71"/>
      <c r="C125" s="71"/>
      <c r="D125" s="71"/>
      <c r="E125" s="71"/>
    </row>
    <row r="126" spans="2:5" x14ac:dyDescent="0.3">
      <c r="B126" s="69"/>
      <c r="C126" s="69"/>
      <c r="D126" s="69"/>
      <c r="E126" s="69"/>
    </row>
    <row r="127" spans="2:5" x14ac:dyDescent="0.3">
      <c r="B127" s="70"/>
      <c r="C127" s="70"/>
      <c r="D127" s="70"/>
      <c r="E127" s="70"/>
    </row>
  </sheetData>
  <mergeCells count="19">
    <mergeCell ref="G92:H92"/>
    <mergeCell ref="A1:H1"/>
    <mergeCell ref="A2:H2"/>
    <mergeCell ref="G85:H85"/>
    <mergeCell ref="G86:H86"/>
    <mergeCell ref="G87:H87"/>
    <mergeCell ref="G88:H88"/>
    <mergeCell ref="G89:H89"/>
    <mergeCell ref="G90:H90"/>
    <mergeCell ref="G91:H91"/>
    <mergeCell ref="G99:H99"/>
    <mergeCell ref="G100:H100"/>
    <mergeCell ref="A101:B101"/>
    <mergeCell ref="G93:H93"/>
    <mergeCell ref="G94:H94"/>
    <mergeCell ref="G95:H95"/>
    <mergeCell ref="G96:H96"/>
    <mergeCell ref="G97:H97"/>
    <mergeCell ref="G98:H98"/>
  </mergeCells>
  <phoneticPr fontId="15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8546-A371-4E9B-8D9E-4BA0867EC2CE}">
  <sheetPr>
    <tabColor theme="9" tint="0.79998168889431442"/>
  </sheetPr>
  <dimension ref="A1:G43"/>
  <sheetViews>
    <sheetView view="pageBreakPreview" zoomScaleNormal="100" zoomScaleSheetLayoutView="100" workbookViewId="0">
      <selection activeCell="C12" sqref="C12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79</v>
      </c>
      <c r="B1" s="145"/>
      <c r="C1" s="145"/>
      <c r="D1" s="145"/>
      <c r="E1" s="145"/>
      <c r="F1" s="145"/>
      <c r="G1" s="145"/>
    </row>
    <row r="2" spans="1:7" x14ac:dyDescent="0.3">
      <c r="A2" s="144" t="s">
        <v>80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19110</v>
      </c>
      <c r="C5" s="7">
        <v>378295</v>
      </c>
      <c r="D5" s="8" t="s">
        <v>61</v>
      </c>
      <c r="E5" s="9">
        <f>B5/C5</f>
        <v>5.0516131590425464E-2</v>
      </c>
      <c r="F5" s="100" t="s">
        <v>67</v>
      </c>
      <c r="G5" s="9">
        <f>IF(F5="Yes",E5,"")</f>
        <v>5.0516131590425464E-2</v>
      </c>
    </row>
    <row r="6" spans="1:7" x14ac:dyDescent="0.3">
      <c r="A6" s="6" t="s">
        <v>3</v>
      </c>
      <c r="B6" s="7">
        <v>738</v>
      </c>
      <c r="C6" s="7">
        <v>6765</v>
      </c>
      <c r="D6" s="8" t="s">
        <v>61</v>
      </c>
      <c r="E6" s="9">
        <f t="shared" ref="E6:E11" si="0">B6/C6</f>
        <v>0.10909090909090909</v>
      </c>
      <c r="F6" s="100"/>
      <c r="G6" s="9"/>
    </row>
    <row r="7" spans="1:7" x14ac:dyDescent="0.3">
      <c r="A7" s="6" t="s">
        <v>5</v>
      </c>
      <c r="B7" s="7">
        <v>9945</v>
      </c>
      <c r="C7" s="7">
        <v>294035</v>
      </c>
      <c r="D7" s="8" t="s">
        <v>61</v>
      </c>
      <c r="E7" s="9">
        <f t="shared" si="0"/>
        <v>3.3822504123658746E-2</v>
      </c>
      <c r="F7" s="100"/>
      <c r="G7" s="9"/>
    </row>
    <row r="8" spans="1:7" x14ac:dyDescent="0.3">
      <c r="A8" s="6" t="s">
        <v>10</v>
      </c>
      <c r="B8" s="7">
        <v>12927</v>
      </c>
      <c r="C8" s="7">
        <v>166681</v>
      </c>
      <c r="D8" s="8" t="s">
        <v>61</v>
      </c>
      <c r="E8" s="9">
        <f t="shared" si="0"/>
        <v>7.7555330241599219E-2</v>
      </c>
      <c r="F8" s="100"/>
      <c r="G8" s="9"/>
    </row>
    <row r="9" spans="1:7" x14ac:dyDescent="0.3">
      <c r="A9" s="6" t="s">
        <v>6</v>
      </c>
      <c r="B9" s="7">
        <v>4145</v>
      </c>
      <c r="C9" s="7">
        <v>71064</v>
      </c>
      <c r="D9" s="8" t="s">
        <v>61</v>
      </c>
      <c r="E9" s="9">
        <f t="shared" si="0"/>
        <v>5.8327704604300347E-2</v>
      </c>
      <c r="F9" s="100" t="s">
        <v>67</v>
      </c>
      <c r="G9" s="9">
        <f t="shared" ref="G9:G11" si="1">IF(F9="Yes",E9,"")</f>
        <v>5.8327704604300347E-2</v>
      </c>
    </row>
    <row r="10" spans="1:7" x14ac:dyDescent="0.3">
      <c r="A10" s="6" t="s">
        <v>7</v>
      </c>
      <c r="B10" s="7">
        <v>5004</v>
      </c>
      <c r="C10" s="7">
        <v>113381</v>
      </c>
      <c r="D10" s="8" t="s">
        <v>61</v>
      </c>
      <c r="E10" s="9">
        <f t="shared" si="0"/>
        <v>4.4134378775985396E-2</v>
      </c>
      <c r="F10" s="100" t="s">
        <v>67</v>
      </c>
      <c r="G10" s="9">
        <f t="shared" si="1"/>
        <v>4.4134378775985396E-2</v>
      </c>
    </row>
    <row r="11" spans="1:7" x14ac:dyDescent="0.3">
      <c r="A11" s="6" t="s">
        <v>335</v>
      </c>
      <c r="B11" s="7">
        <v>1945</v>
      </c>
      <c r="C11" s="7">
        <v>44396</v>
      </c>
      <c r="D11" s="8" t="s">
        <v>61</v>
      </c>
      <c r="E11" s="9">
        <f t="shared" si="0"/>
        <v>4.3810253175961801E-2</v>
      </c>
      <c r="F11" s="100" t="s">
        <v>67</v>
      </c>
      <c r="G11" s="9">
        <f t="shared" si="1"/>
        <v>4.3810253175961801E-2</v>
      </c>
    </row>
    <row r="12" spans="1:7" x14ac:dyDescent="0.3">
      <c r="A12" s="6"/>
      <c r="B12" s="7"/>
      <c r="C12" s="7"/>
      <c r="D12" s="8"/>
      <c r="E12" s="9"/>
      <c r="F12" s="100"/>
      <c r="G12" s="9"/>
    </row>
    <row r="13" spans="1:7" x14ac:dyDescent="0.3">
      <c r="A13" s="6"/>
      <c r="B13" s="7"/>
      <c r="C13" s="7"/>
      <c r="D13" s="8"/>
      <c r="E13" s="9"/>
      <c r="F13" s="100"/>
      <c r="G13" s="9"/>
    </row>
    <row r="14" spans="1:7" x14ac:dyDescent="0.3">
      <c r="A14" s="93" t="s">
        <v>340</v>
      </c>
      <c r="B14" s="94"/>
      <c r="C14" s="94">
        <f>B17</f>
        <v>42529.372545374878</v>
      </c>
      <c r="D14" s="95" t="s">
        <v>61</v>
      </c>
      <c r="E14" s="101">
        <f>IFERROR(E42*(B17^E43),0)</f>
        <v>6.4115290685837517E-2</v>
      </c>
      <c r="F14" s="97"/>
      <c r="G14" s="101">
        <f>IFERROR(F42*(B17^F43),0)</f>
        <v>4.7798525963310003E-2</v>
      </c>
    </row>
    <row r="16" spans="1:7" x14ac:dyDescent="0.3">
      <c r="A16" s="163" t="s">
        <v>70</v>
      </c>
      <c r="B16" s="163"/>
    </row>
    <row r="17" spans="1:2" x14ac:dyDescent="0.3">
      <c r="A17" s="6" t="s">
        <v>229</v>
      </c>
      <c r="B17" s="103">
        <f>'Summary - MH'!D18</f>
        <v>42529.372545374878</v>
      </c>
    </row>
    <row r="18" spans="1:2" x14ac:dyDescent="0.3">
      <c r="A18" s="6" t="s">
        <v>230</v>
      </c>
      <c r="B18" s="99">
        <f>B17*E14</f>
        <v>2726.7830834329875</v>
      </c>
    </row>
    <row r="19" spans="1:2" x14ac:dyDescent="0.3">
      <c r="A19" s="6" t="s">
        <v>231</v>
      </c>
      <c r="B19" s="99">
        <f>C14*G14</f>
        <v>2032.8413178133846</v>
      </c>
    </row>
    <row r="41" spans="2:6" x14ac:dyDescent="0.3">
      <c r="E41" s="65" t="s">
        <v>339</v>
      </c>
      <c r="F41" s="65" t="s">
        <v>65</v>
      </c>
    </row>
    <row r="42" spans="2:6" x14ac:dyDescent="0.3">
      <c r="B42" t="s">
        <v>337</v>
      </c>
      <c r="C42" s="12">
        <f>AVERAGE(E5:E11)</f>
        <v>5.9608173086120021E-2</v>
      </c>
      <c r="E42" s="67" cm="1">
        <f t="array" ref="E42">EXP(INDEX(LINEST(LN(E5:E11),LN(C5:C11),,),1,2))</f>
        <v>0.50631878329146263</v>
      </c>
      <c r="F42" s="67" cm="1">
        <f t="array" ref="F42">IFERROR(EXP(INDEX(LINEST(LN(_xlfn._xlws.FILTER(G5:G11, (C5:C11&gt;0)*(G5:G11&gt;0))), LN(_xlfn._xlws.FILTER(C5:C11, (C5:C11&gt;0)*(G5:G11&gt;0)))), 1, 2)),0)</f>
        <v>3.7206026362715527E-2</v>
      </c>
    </row>
    <row r="43" spans="2:6" x14ac:dyDescent="0.3">
      <c r="B43" t="s">
        <v>338</v>
      </c>
      <c r="C43" s="12">
        <f>STDEV(E5:E11)</f>
        <v>2.5848467840658165E-2</v>
      </c>
      <c r="E43" s="67" cm="1">
        <f t="array" ref="E43">INDEX(LINEST(LN(E5:E11),LN(C5:C11),,),1)</f>
        <v>-0.19389127854356031</v>
      </c>
      <c r="F43" s="67" cm="1">
        <f t="array" ref="F43">IFERROR(INDEX(LINEST(LN(_xlfn._xlws.FILTER(G5:G11, (C5:C11&gt;0)*(G5:G11&gt;0))),LN(_xlfn._xlws.FILTER(C5:C11, (C5:C11&gt;0)*(G5:G11&gt;0)))),1),0)</f>
        <v>2.3505838248067401E-2</v>
      </c>
    </row>
  </sheetData>
  <mergeCells count="3">
    <mergeCell ref="A1:G1"/>
    <mergeCell ref="A2:G2"/>
    <mergeCell ref="A16:B16"/>
  </mergeCells>
  <pageMargins left="0.7" right="0.7" top="0.75" bottom="0.75" header="0.3" footer="0.3"/>
  <pageSetup scale="7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8A8E-8036-4F90-8005-1F985199C6ED}">
  <sheetPr>
    <tabColor theme="9" tint="0.79998168889431442"/>
  </sheetPr>
  <dimension ref="A1:G47"/>
  <sheetViews>
    <sheetView view="pageBreakPreview" topLeftCell="A6" zoomScaleNormal="100" zoomScaleSheetLayoutView="100" workbookViewId="0">
      <selection activeCell="F11" sqref="F11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77</v>
      </c>
      <c r="B1" s="145"/>
      <c r="C1" s="145"/>
      <c r="D1" s="145"/>
      <c r="E1" s="145"/>
      <c r="F1" s="145"/>
      <c r="G1" s="145"/>
    </row>
    <row r="2" spans="1:7" x14ac:dyDescent="0.3">
      <c r="A2" s="144" t="s">
        <v>78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2</v>
      </c>
      <c r="B5" s="7">
        <v>47629</v>
      </c>
      <c r="C5" s="7">
        <v>274</v>
      </c>
      <c r="D5" s="8" t="s">
        <v>55</v>
      </c>
      <c r="E5" s="9">
        <f>B5/C5</f>
        <v>173.82846715328466</v>
      </c>
      <c r="F5" s="100" t="s">
        <v>67</v>
      </c>
      <c r="G5" s="9">
        <f>IF(F5="Yes",E5,"")</f>
        <v>173.82846715328466</v>
      </c>
    </row>
    <row r="6" spans="1:7" x14ac:dyDescent="0.3">
      <c r="A6" s="6" t="s">
        <v>3</v>
      </c>
      <c r="B6" s="7">
        <v>1255</v>
      </c>
      <c r="C6" s="7">
        <v>2</v>
      </c>
      <c r="D6" s="8" t="s">
        <v>55</v>
      </c>
      <c r="E6" s="9">
        <f t="shared" ref="E6:E15" si="0">B6/C6</f>
        <v>627.5</v>
      </c>
      <c r="F6" s="100"/>
      <c r="G6" s="9"/>
    </row>
    <row r="7" spans="1:7" x14ac:dyDescent="0.3">
      <c r="A7" s="6" t="s">
        <v>4</v>
      </c>
      <c r="B7" s="7">
        <v>4735</v>
      </c>
      <c r="C7" s="7">
        <v>8</v>
      </c>
      <c r="D7" s="8" t="s">
        <v>55</v>
      </c>
      <c r="E7" s="9">
        <f t="shared" si="0"/>
        <v>591.875</v>
      </c>
      <c r="F7" s="100"/>
      <c r="G7" s="9"/>
    </row>
    <row r="8" spans="1:7" x14ac:dyDescent="0.3">
      <c r="A8" s="6" t="s">
        <v>5</v>
      </c>
      <c r="B8" s="7">
        <v>33353</v>
      </c>
      <c r="C8" s="7">
        <v>127</v>
      </c>
      <c r="D8" s="8" t="s">
        <v>55</v>
      </c>
      <c r="E8" s="9">
        <f t="shared" si="0"/>
        <v>262.62204724409446</v>
      </c>
      <c r="F8" s="100"/>
      <c r="G8" s="9"/>
    </row>
    <row r="9" spans="1:7" x14ac:dyDescent="0.3">
      <c r="A9" s="6" t="s">
        <v>9</v>
      </c>
      <c r="B9" s="7">
        <v>6797</v>
      </c>
      <c r="C9" s="7">
        <v>19</v>
      </c>
      <c r="D9" s="8" t="s">
        <v>55</v>
      </c>
      <c r="E9" s="9">
        <f t="shared" si="0"/>
        <v>357.73684210526318</v>
      </c>
      <c r="F9" s="100"/>
      <c r="G9" s="9"/>
    </row>
    <row r="10" spans="1:7" x14ac:dyDescent="0.3">
      <c r="A10" s="6" t="s">
        <v>10</v>
      </c>
      <c r="B10" s="7">
        <v>98819</v>
      </c>
      <c r="C10" s="7">
        <v>99</v>
      </c>
      <c r="D10" s="8" t="s">
        <v>55</v>
      </c>
      <c r="E10" s="9">
        <f t="shared" si="0"/>
        <v>998.17171717171721</v>
      </c>
      <c r="F10" s="100"/>
      <c r="G10" s="9"/>
    </row>
    <row r="11" spans="1:7" x14ac:dyDescent="0.3">
      <c r="A11" s="6" t="s">
        <v>6</v>
      </c>
      <c r="B11" s="7">
        <v>9508</v>
      </c>
      <c r="C11" s="7">
        <v>33</v>
      </c>
      <c r="D11" s="8" t="s">
        <v>55</v>
      </c>
      <c r="E11" s="9">
        <f t="shared" si="0"/>
        <v>288.12121212121212</v>
      </c>
      <c r="F11" s="100" t="s">
        <v>67</v>
      </c>
      <c r="G11" s="9">
        <f t="shared" ref="G11:G14" si="1">IF(F11="Yes",E11,"")</f>
        <v>288.12121212121212</v>
      </c>
    </row>
    <row r="12" spans="1:7" x14ac:dyDescent="0.3">
      <c r="A12" s="6" t="s">
        <v>7</v>
      </c>
      <c r="B12" s="7">
        <v>23572</v>
      </c>
      <c r="C12" s="7">
        <v>110</v>
      </c>
      <c r="D12" s="8" t="s">
        <v>55</v>
      </c>
      <c r="E12" s="9">
        <f t="shared" si="0"/>
        <v>214.29090909090908</v>
      </c>
      <c r="F12" s="100" t="s">
        <v>67</v>
      </c>
      <c r="G12" s="9">
        <f t="shared" si="1"/>
        <v>214.29090909090908</v>
      </c>
    </row>
    <row r="13" spans="1:7" x14ac:dyDescent="0.3">
      <c r="A13" s="6" t="s">
        <v>11</v>
      </c>
      <c r="B13" s="7">
        <v>951</v>
      </c>
      <c r="C13" s="7">
        <v>1</v>
      </c>
      <c r="D13" s="8" t="s">
        <v>55</v>
      </c>
      <c r="E13" s="9">
        <f t="shared" si="0"/>
        <v>951</v>
      </c>
      <c r="F13" s="100"/>
      <c r="G13" s="9"/>
    </row>
    <row r="14" spans="1:7" x14ac:dyDescent="0.3">
      <c r="A14" s="6" t="s">
        <v>14</v>
      </c>
      <c r="B14" s="7">
        <v>2900</v>
      </c>
      <c r="C14" s="7">
        <v>19</v>
      </c>
      <c r="D14" s="8" t="s">
        <v>55</v>
      </c>
      <c r="E14" s="9">
        <f t="shared" si="0"/>
        <v>152.63157894736841</v>
      </c>
      <c r="F14" s="100" t="s">
        <v>67</v>
      </c>
      <c r="G14" s="9">
        <f t="shared" si="1"/>
        <v>152.63157894736841</v>
      </c>
    </row>
    <row r="15" spans="1:7" x14ac:dyDescent="0.3">
      <c r="A15" s="6" t="s">
        <v>335</v>
      </c>
      <c r="B15" s="7">
        <v>7478</v>
      </c>
      <c r="C15" s="7">
        <v>6</v>
      </c>
      <c r="D15" s="8" t="s">
        <v>55</v>
      </c>
      <c r="E15" s="9">
        <f t="shared" si="0"/>
        <v>1246.3333333333333</v>
      </c>
      <c r="F15" s="100"/>
      <c r="G15" s="9"/>
    </row>
    <row r="16" spans="1:7" x14ac:dyDescent="0.3">
      <c r="A16" s="6"/>
      <c r="B16" s="7"/>
      <c r="C16" s="7"/>
      <c r="D16" s="8"/>
      <c r="E16" s="9"/>
      <c r="F16" s="100"/>
      <c r="G16" s="9"/>
    </row>
    <row r="17" spans="1:7" x14ac:dyDescent="0.3">
      <c r="A17" s="6"/>
      <c r="B17" s="7"/>
      <c r="C17" s="7"/>
      <c r="D17" s="8"/>
      <c r="E17" s="9"/>
      <c r="F17" s="100"/>
      <c r="G17" s="9"/>
    </row>
    <row r="18" spans="1:7" x14ac:dyDescent="0.3">
      <c r="A18" s="93" t="s">
        <v>340</v>
      </c>
      <c r="B18" s="94"/>
      <c r="C18" s="94">
        <f>B21</f>
        <v>12</v>
      </c>
      <c r="D18" s="95" t="s">
        <v>55</v>
      </c>
      <c r="E18" s="101">
        <f>IFERROR(E46*(B21^E47),0)</f>
        <v>482.25671920433052</v>
      </c>
      <c r="F18" s="97"/>
      <c r="G18" s="101">
        <f>IFERROR(F46*(B21^F47),0)</f>
        <v>207.70011673728484</v>
      </c>
    </row>
    <row r="20" spans="1:7" x14ac:dyDescent="0.3">
      <c r="A20" s="163" t="s">
        <v>70</v>
      </c>
      <c r="B20" s="163"/>
    </row>
    <row r="21" spans="1:7" x14ac:dyDescent="0.3">
      <c r="A21" s="6" t="s">
        <v>229</v>
      </c>
      <c r="B21" s="103">
        <f>'Summary - MH'!D19</f>
        <v>12</v>
      </c>
    </row>
    <row r="22" spans="1:7" x14ac:dyDescent="0.3">
      <c r="A22" s="6" t="s">
        <v>230</v>
      </c>
      <c r="B22" s="99">
        <f>B21*E18</f>
        <v>5787.0806304519665</v>
      </c>
    </row>
    <row r="23" spans="1:7" x14ac:dyDescent="0.3">
      <c r="A23" s="6" t="s">
        <v>231</v>
      </c>
      <c r="B23" s="99">
        <f>C18*G18</f>
        <v>2492.4014008474182</v>
      </c>
    </row>
    <row r="45" spans="2:6" x14ac:dyDescent="0.3">
      <c r="E45" s="65" t="s">
        <v>339</v>
      </c>
      <c r="F45" s="65" t="s">
        <v>65</v>
      </c>
    </row>
    <row r="46" spans="2:6" x14ac:dyDescent="0.3">
      <c r="B46" t="s">
        <v>337</v>
      </c>
      <c r="C46" s="12">
        <f>AVERAGE(E5:E15)</f>
        <v>533.10100974247109</v>
      </c>
      <c r="E46" s="67" cm="1">
        <f t="array" ref="E46">EXP(INDEX(LINEST(LN(E5:E15),LN(C5:C15),,),1,2))</f>
        <v>893.14709382694411</v>
      </c>
      <c r="F46" s="67" cm="1">
        <f t="array" ref="F46">IFERROR(EXP(INDEX(LINEST(LN(_xlfn._xlws.FILTER(G5:G15, (C5:C15&gt;0)*(G5:G15&gt;0))), LN(_xlfn._xlws.FILTER(C5:C15, (C5:C15&gt;0)*(G5:G15&gt;0)))), 1, 2)),0)</f>
        <v>217.58955964258277</v>
      </c>
    </row>
    <row r="47" spans="2:6" x14ac:dyDescent="0.3">
      <c r="B47" t="s">
        <v>338</v>
      </c>
      <c r="C47" s="12">
        <f>STDEV(E5:E15)</f>
        <v>380.9719697389304</v>
      </c>
      <c r="E47" s="67" cm="1">
        <f t="array" ref="E47">INDEX(LINEST(LN(E5:E15),LN(C5:C15),,),1)</f>
        <v>-0.24800718424395152</v>
      </c>
      <c r="F47" s="67" cm="1">
        <f t="array" ref="F47">IFERROR(INDEX(LINEST(LN(_xlfn._xlws.FILTER(G5:G15, (C5:C15&gt;0)*(G5:G15&gt;0))),LN(_xlfn._xlws.FILTER(C5:C15, (C5:C15&gt;0)*(G5:G15&gt;0)))),1),0)</f>
        <v>-1.8719110161132049E-2</v>
      </c>
    </row>
  </sheetData>
  <mergeCells count="3">
    <mergeCell ref="A1:G1"/>
    <mergeCell ref="A2:G2"/>
    <mergeCell ref="A20:B20"/>
  </mergeCells>
  <pageMargins left="0.7" right="0.7" top="0.75" bottom="0.75" header="0.3" footer="0.3"/>
  <pageSetup scale="7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F924-C7C1-48A7-92BC-FDBCC0BB4CD3}">
  <sheetPr>
    <tabColor theme="9" tint="0.79998168889431442"/>
  </sheetPr>
  <dimension ref="A1:G41"/>
  <sheetViews>
    <sheetView view="pageBreakPreview" zoomScaleNormal="100" zoomScaleSheetLayoutView="100" workbookViewId="0">
      <selection activeCell="C8" sqref="C8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25</v>
      </c>
      <c r="B1" s="145"/>
      <c r="C1" s="145"/>
      <c r="D1" s="145"/>
      <c r="E1" s="145"/>
      <c r="F1" s="145"/>
      <c r="G1" s="145"/>
    </row>
    <row r="2" spans="1:7" x14ac:dyDescent="0.3">
      <c r="A2" s="144" t="s">
        <v>236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5</v>
      </c>
      <c r="B5" s="7">
        <v>153825</v>
      </c>
      <c r="C5" s="7">
        <v>81688</v>
      </c>
      <c r="D5" s="8" t="s">
        <v>54</v>
      </c>
      <c r="E5" s="9">
        <f>B5/C5</f>
        <v>1.8830795220840271</v>
      </c>
      <c r="F5" s="100" t="s">
        <v>67</v>
      </c>
      <c r="G5" s="9">
        <f>IF(F5="Yes",E5,"")</f>
        <v>1.8830795220840271</v>
      </c>
    </row>
    <row r="6" spans="1:7" x14ac:dyDescent="0.3">
      <c r="A6" s="6" t="s">
        <v>9</v>
      </c>
      <c r="B6" s="7">
        <v>39239</v>
      </c>
      <c r="C6" s="7">
        <v>154899</v>
      </c>
      <c r="D6" s="8" t="s">
        <v>54</v>
      </c>
      <c r="E6" s="9">
        <f t="shared" ref="E6:E8" si="0">B6/C6</f>
        <v>0.25331990522856829</v>
      </c>
      <c r="F6" s="100" t="s">
        <v>67</v>
      </c>
      <c r="G6" s="9">
        <f t="shared" ref="G6:G7" si="1">IF(F6="Yes",E6,"")</f>
        <v>0.25331990522856829</v>
      </c>
    </row>
    <row r="7" spans="1:7" x14ac:dyDescent="0.3">
      <c r="A7" s="6" t="s">
        <v>10</v>
      </c>
      <c r="B7" s="7">
        <v>88715</v>
      </c>
      <c r="C7" s="7">
        <v>103233</v>
      </c>
      <c r="D7" s="8" t="s">
        <v>54</v>
      </c>
      <c r="E7" s="9">
        <f t="shared" si="0"/>
        <v>0.85936667538480915</v>
      </c>
      <c r="F7" s="100" t="s">
        <v>67</v>
      </c>
      <c r="G7" s="9">
        <f t="shared" si="1"/>
        <v>0.85936667538480915</v>
      </c>
    </row>
    <row r="8" spans="1:7" x14ac:dyDescent="0.3">
      <c r="A8" s="6" t="s">
        <v>8</v>
      </c>
      <c r="B8" s="7">
        <v>135270</v>
      </c>
      <c r="C8" s="7">
        <v>167537</v>
      </c>
      <c r="D8" s="8" t="s">
        <v>54</v>
      </c>
      <c r="E8" s="9">
        <f t="shared" si="0"/>
        <v>0.8074037376818255</v>
      </c>
      <c r="F8" s="100"/>
      <c r="G8" s="9"/>
    </row>
    <row r="9" spans="1:7" x14ac:dyDescent="0.3">
      <c r="A9" s="6"/>
      <c r="B9" s="7"/>
      <c r="C9" s="7"/>
      <c r="D9" s="8"/>
      <c r="E9" s="9"/>
      <c r="F9" s="100"/>
      <c r="G9" s="9"/>
    </row>
    <row r="10" spans="1:7" x14ac:dyDescent="0.3">
      <c r="A10" s="6"/>
      <c r="B10" s="7"/>
      <c r="C10" s="7"/>
      <c r="D10" s="8"/>
      <c r="E10" s="9"/>
      <c r="F10" s="100"/>
      <c r="G10" s="9"/>
    </row>
    <row r="11" spans="1:7" x14ac:dyDescent="0.3">
      <c r="A11" s="6"/>
      <c r="B11" s="7"/>
      <c r="C11" s="7"/>
      <c r="D11" s="8"/>
      <c r="E11" s="9"/>
      <c r="F11" s="100"/>
      <c r="G11" s="9"/>
    </row>
    <row r="12" spans="1:7" x14ac:dyDescent="0.3">
      <c r="A12" s="93" t="s">
        <v>340</v>
      </c>
      <c r="B12" s="94"/>
      <c r="C12" s="94">
        <f>B15</f>
        <v>0</v>
      </c>
      <c r="D12" s="95" t="s">
        <v>54</v>
      </c>
      <c r="E12" s="101">
        <f>IFERROR(E40*(B15^E41),0)</f>
        <v>0</v>
      </c>
      <c r="F12" s="97"/>
      <c r="G12" s="101">
        <f>IFERROR(F40*(B15^F41),0)</f>
        <v>0</v>
      </c>
    </row>
    <row r="14" spans="1:7" x14ac:dyDescent="0.3">
      <c r="A14" s="163" t="s">
        <v>70</v>
      </c>
      <c r="B14" s="163"/>
    </row>
    <row r="15" spans="1:7" x14ac:dyDescent="0.3">
      <c r="A15" s="6" t="s">
        <v>229</v>
      </c>
      <c r="B15" s="103">
        <f>'Summary - MH'!D20</f>
        <v>0</v>
      </c>
    </row>
    <row r="16" spans="1:7" x14ac:dyDescent="0.3">
      <c r="A16" s="6" t="s">
        <v>230</v>
      </c>
      <c r="B16" s="99">
        <f>B15*E12</f>
        <v>0</v>
      </c>
    </row>
    <row r="17" spans="1:2" x14ac:dyDescent="0.3">
      <c r="A17" s="6" t="s">
        <v>231</v>
      </c>
      <c r="B17" s="99">
        <f>C12*G12</f>
        <v>0</v>
      </c>
    </row>
    <row r="39" spans="2:6" x14ac:dyDescent="0.3">
      <c r="E39" s="65" t="s">
        <v>339</v>
      </c>
      <c r="F39" s="65" t="s">
        <v>65</v>
      </c>
    </row>
    <row r="40" spans="2:6" x14ac:dyDescent="0.3">
      <c r="B40" t="s">
        <v>337</v>
      </c>
      <c r="C40" s="12">
        <f>AVERAGE(E5:E8)</f>
        <v>0.95079246009480745</v>
      </c>
      <c r="E40" s="67" cm="1">
        <f t="array" ref="E40">EXP(INDEX(LINEST(LN(E5:E8),LN(C5:C8),,),1,2))</f>
        <v>1241990026.2902508</v>
      </c>
      <c r="F40" s="67" cm="1">
        <f t="array" ref="F40">IFERROR(EXP(INDEX(LINEST(LN(_xlfn._xlws.FILTER(G5:G8, (C5:C8&gt;0)*(G5:G8&gt;0))), LN(_xlfn._xlws.FILTER(C5:C8, (C5:C8&gt;0)*(G5:G8&gt;0)))), 1, 2)),0)</f>
        <v>3960617645023161</v>
      </c>
    </row>
    <row r="41" spans="2:6" x14ac:dyDescent="0.3">
      <c r="B41" t="s">
        <v>338</v>
      </c>
      <c r="C41" s="12">
        <f>STDEV(E5:E8)</f>
        <v>0.6793492304083365</v>
      </c>
      <c r="E41" s="67" cm="1">
        <f t="array" ref="E41">INDEX(LINEST(LN(E5:E8),LN(C5:C8),,),1)</f>
        <v>-1.8120166404784768</v>
      </c>
      <c r="F41" s="67" cm="1">
        <f t="array" ref="F41">IFERROR(INDEX(LINEST(LN(_xlfn._xlws.FILTER(G5:G8, (C5:C8&gt;0)*(G5:G8&gt;0))),LN(_xlfn._xlws.FILTER(C5:C8, (C5:C8&gt;0)*(G5:G8&gt;0)))),1),0)</f>
        <v>-3.1212286920444043</v>
      </c>
    </row>
  </sheetData>
  <mergeCells count="3">
    <mergeCell ref="A1:G1"/>
    <mergeCell ref="A2:G2"/>
    <mergeCell ref="A14:B14"/>
  </mergeCells>
  <pageMargins left="0.7" right="0.7" top="0.75" bottom="0.75" header="0.3" footer="0.3"/>
  <pageSetup scale="74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6876-E050-400F-B169-093076E642D0}">
  <sheetPr>
    <tabColor theme="9" tint="0.79998168889431442"/>
  </sheetPr>
  <dimension ref="A1:G41"/>
  <sheetViews>
    <sheetView view="pageBreakPreview" zoomScaleNormal="100" zoomScaleSheetLayoutView="100" workbookViewId="0">
      <selection activeCell="C9" sqref="C9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</cols>
  <sheetData>
    <row r="1" spans="1:7" ht="15.6" x14ac:dyDescent="0.3">
      <c r="A1" s="145" t="s">
        <v>235</v>
      </c>
      <c r="B1" s="145"/>
      <c r="C1" s="145"/>
      <c r="D1" s="145"/>
      <c r="E1" s="145"/>
      <c r="F1" s="145"/>
      <c r="G1" s="145"/>
    </row>
    <row r="2" spans="1:7" x14ac:dyDescent="0.3">
      <c r="A2" s="144" t="s">
        <v>236</v>
      </c>
      <c r="B2" s="144"/>
      <c r="C2" s="144"/>
      <c r="D2" s="144"/>
      <c r="E2" s="144"/>
      <c r="F2" s="144"/>
      <c r="G2" s="144"/>
    </row>
    <row r="4" spans="1:7" x14ac:dyDescent="0.3">
      <c r="A4" s="10" t="s">
        <v>1</v>
      </c>
      <c r="B4" s="10" t="s">
        <v>68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</row>
    <row r="5" spans="1:7" x14ac:dyDescent="0.3">
      <c r="A5" s="6" t="s">
        <v>5</v>
      </c>
      <c r="B5" s="7">
        <v>55340</v>
      </c>
      <c r="C5" s="7">
        <v>81688</v>
      </c>
      <c r="D5" s="8" t="s">
        <v>54</v>
      </c>
      <c r="E5" s="9">
        <f>B5/C5</f>
        <v>0.6774556850455391</v>
      </c>
      <c r="F5" s="100" t="s">
        <v>67</v>
      </c>
      <c r="G5" s="9">
        <f>IF(F5="Yes",E5,"")</f>
        <v>0.6774556850455391</v>
      </c>
    </row>
    <row r="6" spans="1:7" x14ac:dyDescent="0.3">
      <c r="A6" s="6" t="s">
        <v>9</v>
      </c>
      <c r="B6" s="7">
        <v>8757</v>
      </c>
      <c r="C6" s="7">
        <v>154899</v>
      </c>
      <c r="D6" s="8" t="s">
        <v>54</v>
      </c>
      <c r="E6" s="9">
        <f t="shared" ref="E6:E8" si="0">B6/C6</f>
        <v>5.6533612224739994E-2</v>
      </c>
      <c r="F6" s="100" t="s">
        <v>67</v>
      </c>
      <c r="G6" s="9">
        <f t="shared" ref="G6:G7" si="1">IF(F6="Yes",E6,"")</f>
        <v>5.6533612224739994E-2</v>
      </c>
    </row>
    <row r="7" spans="1:7" x14ac:dyDescent="0.3">
      <c r="A7" s="6" t="s">
        <v>10</v>
      </c>
      <c r="B7" s="7">
        <v>6838</v>
      </c>
      <c r="C7" s="7">
        <v>103233</v>
      </c>
      <c r="D7" s="8" t="s">
        <v>54</v>
      </c>
      <c r="E7" s="9">
        <f t="shared" si="0"/>
        <v>6.6238509003903795E-2</v>
      </c>
      <c r="F7" s="100" t="s">
        <v>67</v>
      </c>
      <c r="G7" s="9">
        <f t="shared" si="1"/>
        <v>6.6238509003903795E-2</v>
      </c>
    </row>
    <row r="8" spans="1:7" x14ac:dyDescent="0.3">
      <c r="A8" s="6" t="s">
        <v>8</v>
      </c>
      <c r="B8" s="7">
        <v>82275</v>
      </c>
      <c r="C8" s="7">
        <v>167537</v>
      </c>
      <c r="D8" s="8" t="s">
        <v>54</v>
      </c>
      <c r="E8" s="9">
        <f t="shared" si="0"/>
        <v>0.49108555125136538</v>
      </c>
      <c r="F8" s="100"/>
      <c r="G8" s="9"/>
    </row>
    <row r="9" spans="1:7" x14ac:dyDescent="0.3">
      <c r="A9" s="6"/>
      <c r="B9" s="7"/>
      <c r="C9" s="7"/>
      <c r="D9" s="8"/>
      <c r="E9" s="9"/>
      <c r="F9" s="100"/>
      <c r="G9" s="9"/>
    </row>
    <row r="10" spans="1:7" x14ac:dyDescent="0.3">
      <c r="A10" s="6"/>
      <c r="B10" s="7"/>
      <c r="C10" s="7"/>
      <c r="D10" s="8"/>
      <c r="E10" s="9"/>
      <c r="F10" s="100"/>
      <c r="G10" s="9"/>
    </row>
    <row r="11" spans="1:7" x14ac:dyDescent="0.3">
      <c r="A11" s="6"/>
      <c r="B11" s="7"/>
      <c r="C11" s="7"/>
      <c r="D11" s="8"/>
      <c r="E11" s="9"/>
      <c r="F11" s="100"/>
      <c r="G11" s="9"/>
    </row>
    <row r="12" spans="1:7" x14ac:dyDescent="0.3">
      <c r="A12" s="93" t="s">
        <v>340</v>
      </c>
      <c r="B12" s="94"/>
      <c r="C12" s="94">
        <f>B15</f>
        <v>0</v>
      </c>
      <c r="D12" s="95" t="s">
        <v>54</v>
      </c>
      <c r="E12" s="101">
        <f>IFERROR(E40*(B15^E41),0)</f>
        <v>0</v>
      </c>
      <c r="F12" s="97"/>
      <c r="G12" s="101">
        <f>IFERROR(F40*(B15^F41),0)</f>
        <v>0</v>
      </c>
    </row>
    <row r="14" spans="1:7" x14ac:dyDescent="0.3">
      <c r="A14" s="163" t="s">
        <v>70</v>
      </c>
      <c r="B14" s="163"/>
    </row>
    <row r="15" spans="1:7" x14ac:dyDescent="0.3">
      <c r="A15" s="6" t="s">
        <v>229</v>
      </c>
      <c r="B15" s="103">
        <f>'Summary - MH'!D21</f>
        <v>0</v>
      </c>
    </row>
    <row r="16" spans="1:7" x14ac:dyDescent="0.3">
      <c r="A16" s="6" t="s">
        <v>230</v>
      </c>
      <c r="B16" s="99">
        <f>B15*E12</f>
        <v>0</v>
      </c>
    </row>
    <row r="17" spans="1:2" x14ac:dyDescent="0.3">
      <c r="A17" s="6" t="s">
        <v>231</v>
      </c>
      <c r="B17" s="99">
        <f>C12*G12</f>
        <v>0</v>
      </c>
    </row>
    <row r="39" spans="2:6" x14ac:dyDescent="0.3">
      <c r="E39" s="65" t="s">
        <v>339</v>
      </c>
      <c r="F39" s="65" t="s">
        <v>65</v>
      </c>
    </row>
    <row r="40" spans="2:6" x14ac:dyDescent="0.3">
      <c r="B40" t="s">
        <v>337</v>
      </c>
      <c r="C40" s="12">
        <f>AVERAGE(E5:E8)</f>
        <v>0.32282833938138705</v>
      </c>
      <c r="E40" s="67" cm="1">
        <f t="array" ref="E40">EXP(INDEX(LINEST(LN(E5:E8),LN(C5:C8),,),1,2))</f>
        <v>10125.828090044914</v>
      </c>
      <c r="F40" s="67" cm="1">
        <f t="array" ref="F40">IFERROR(EXP(INDEX(LINEST(LN(_xlfn._xlws.FILTER(G5:G8, (C5:C8&gt;0)*(G5:G8&gt;0))), LN(_xlfn._xlws.FILTER(C5:C8, (C5:C8&gt;0)*(G5:G8&gt;0)))), 1, 2)),0)</f>
        <v>5.5284674262475608E+16</v>
      </c>
    </row>
    <row r="41" spans="2:6" x14ac:dyDescent="0.3">
      <c r="B41" t="s">
        <v>338</v>
      </c>
      <c r="C41" s="12">
        <f>STDEV(E5:E8)</f>
        <v>0.31135310415648637</v>
      </c>
      <c r="E41" s="67" cm="1">
        <f t="array" ref="E41">INDEX(LINEST(LN(E5:E8),LN(C5:C8),,),1)</f>
        <v>-0.93048870071084111</v>
      </c>
      <c r="F41" s="67" cm="1">
        <f t="array" ref="F41">IFERROR(INDEX(LINEST(LN(_xlfn._xlws.FILTER(G5:G8, (C5:C8&gt;0)*(G5:G8&gt;0))),LN(_xlfn._xlws.FILTER(C5:C8, (C5:C8&gt;0)*(G5:G8&gt;0)))),1),0)</f>
        <v>-3.4945373934405177</v>
      </c>
    </row>
  </sheetData>
  <mergeCells count="3">
    <mergeCell ref="A1:G1"/>
    <mergeCell ref="A2:G2"/>
    <mergeCell ref="A14:B14"/>
  </mergeCells>
  <pageMargins left="0.7" right="0.7" top="0.75" bottom="0.75" header="0.3" footer="0.3"/>
  <pageSetup scale="7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3D00-2116-4903-9533-5163B7E879CD}">
  <sheetPr>
    <tabColor theme="8" tint="0.79998168889431442"/>
  </sheetPr>
  <dimension ref="A1:J79"/>
  <sheetViews>
    <sheetView view="pageBreakPreview" topLeftCell="A15" zoomScaleNormal="100" zoomScaleSheetLayoutView="100" workbookViewId="0">
      <selection activeCell="B55" sqref="B55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  <col min="8" max="8" width="25.77734375" customWidth="1"/>
    <col min="9" max="9" width="20.77734375" customWidth="1"/>
    <col min="10" max="10" width="15.77734375" customWidth="1"/>
  </cols>
  <sheetData>
    <row r="1" spans="1:10" ht="15.6" x14ac:dyDescent="0.3">
      <c r="A1" s="168" t="s">
        <v>87</v>
      </c>
      <c r="B1" s="169"/>
      <c r="C1" s="169"/>
      <c r="D1" s="169"/>
      <c r="E1" s="169"/>
      <c r="F1" s="169"/>
      <c r="G1" s="169"/>
      <c r="H1" s="169"/>
      <c r="I1" s="169"/>
      <c r="J1" s="170"/>
    </row>
    <row r="2" spans="1:10" x14ac:dyDescent="0.3">
      <c r="A2" s="171" t="s">
        <v>88</v>
      </c>
      <c r="B2" s="172"/>
      <c r="C2" s="172"/>
      <c r="D2" s="172"/>
      <c r="E2" s="172"/>
      <c r="F2" s="172"/>
      <c r="G2" s="172"/>
      <c r="H2" s="172"/>
      <c r="I2" s="172"/>
      <c r="J2" s="173"/>
    </row>
    <row r="4" spans="1:10" x14ac:dyDescent="0.3">
      <c r="A4" s="10" t="s">
        <v>1</v>
      </c>
      <c r="B4" s="10" t="s">
        <v>89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  <c r="H4" s="10" t="s">
        <v>125</v>
      </c>
      <c r="I4" s="10" t="s">
        <v>126</v>
      </c>
      <c r="J4" s="10" t="s">
        <v>127</v>
      </c>
    </row>
    <row r="5" spans="1:10" x14ac:dyDescent="0.3">
      <c r="A5" s="6" t="s">
        <v>2</v>
      </c>
      <c r="B5" s="13">
        <v>23053.57</v>
      </c>
      <c r="C5" s="13">
        <v>1938485.07</v>
      </c>
      <c r="D5" s="8" t="s">
        <v>22</v>
      </c>
      <c r="E5" s="109">
        <f>B5/C5</f>
        <v>1.1892570315230748E-2</v>
      </c>
      <c r="F5" s="100" t="s">
        <v>67</v>
      </c>
      <c r="G5" s="109">
        <f>IF(F5="Yes",E5,"")</f>
        <v>1.1892570315230748E-2</v>
      </c>
      <c r="H5" s="9" t="s">
        <v>130</v>
      </c>
      <c r="I5" s="9" t="s">
        <v>128</v>
      </c>
      <c r="J5" s="9" t="s">
        <v>129</v>
      </c>
    </row>
    <row r="6" spans="1:10" x14ac:dyDescent="0.3">
      <c r="A6" s="6" t="s">
        <v>5</v>
      </c>
      <c r="B6" s="13">
        <v>21188.27</v>
      </c>
      <c r="C6" s="13">
        <v>1376998.17</v>
      </c>
      <c r="D6" s="8" t="s">
        <v>22</v>
      </c>
      <c r="E6" s="109">
        <f t="shared" ref="E6:E48" si="0">B6/C6</f>
        <v>1.5387289875628521E-2</v>
      </c>
      <c r="F6" s="100"/>
      <c r="G6" s="109"/>
      <c r="H6" s="9" t="s">
        <v>132</v>
      </c>
      <c r="I6" s="9" t="s">
        <v>131</v>
      </c>
      <c r="J6" s="9" t="s">
        <v>129</v>
      </c>
    </row>
    <row r="7" spans="1:10" x14ac:dyDescent="0.3">
      <c r="A7" s="6" t="s">
        <v>9</v>
      </c>
      <c r="B7" s="13">
        <v>6232</v>
      </c>
      <c r="C7" s="13">
        <v>470813.24</v>
      </c>
      <c r="D7" s="8" t="s">
        <v>22</v>
      </c>
      <c r="E7" s="109">
        <f t="shared" si="0"/>
        <v>1.3236671084271122E-2</v>
      </c>
      <c r="F7" s="100"/>
      <c r="G7" s="109"/>
      <c r="H7" s="9" t="s">
        <v>132</v>
      </c>
      <c r="I7" s="9" t="s">
        <v>133</v>
      </c>
      <c r="J7" s="9" t="s">
        <v>129</v>
      </c>
    </row>
    <row r="8" spans="1:10" x14ac:dyDescent="0.3">
      <c r="A8" s="6" t="s">
        <v>10</v>
      </c>
      <c r="B8" s="13">
        <v>8894.15</v>
      </c>
      <c r="C8" s="13">
        <v>836559.23</v>
      </c>
      <c r="D8" s="8" t="s">
        <v>22</v>
      </c>
      <c r="E8" s="109">
        <f t="shared" si="0"/>
        <v>1.0631823403586139E-2</v>
      </c>
      <c r="F8" s="100"/>
      <c r="G8" s="109"/>
      <c r="H8" s="9" t="s">
        <v>132</v>
      </c>
      <c r="I8" s="9" t="s">
        <v>133</v>
      </c>
      <c r="J8" s="9" t="s">
        <v>129</v>
      </c>
    </row>
    <row r="9" spans="1:10" x14ac:dyDescent="0.3">
      <c r="A9" s="6" t="s">
        <v>8</v>
      </c>
      <c r="B9" s="13">
        <v>52312.47</v>
      </c>
      <c r="C9" s="13">
        <v>3691276.9</v>
      </c>
      <c r="D9" s="8" t="s">
        <v>22</v>
      </c>
      <c r="E9" s="109">
        <f t="shared" si="0"/>
        <v>1.4171917040414931E-2</v>
      </c>
      <c r="F9" s="100"/>
      <c r="G9" s="109"/>
      <c r="H9" s="9" t="s">
        <v>132</v>
      </c>
      <c r="I9" s="9" t="s">
        <v>145</v>
      </c>
      <c r="J9" s="9" t="s">
        <v>134</v>
      </c>
    </row>
    <row r="10" spans="1:10" x14ac:dyDescent="0.3">
      <c r="A10" s="6" t="s">
        <v>90</v>
      </c>
      <c r="B10" s="13">
        <v>15995.5</v>
      </c>
      <c r="C10" s="13">
        <v>1386636.6</v>
      </c>
      <c r="D10" s="8" t="s">
        <v>22</v>
      </c>
      <c r="E10" s="109">
        <f t="shared" ref="E10:E35" si="1">B10/C10</f>
        <v>1.1535466466123856E-2</v>
      </c>
      <c r="F10" s="100" t="s">
        <v>67</v>
      </c>
      <c r="G10" s="109">
        <f t="shared" ref="G10:G35" si="2">IF(F10="Yes",E10,"")</f>
        <v>1.1535466466123856E-2</v>
      </c>
      <c r="H10" s="9" t="s">
        <v>130</v>
      </c>
      <c r="I10" s="9" t="s">
        <v>135</v>
      </c>
      <c r="J10" s="9" t="s">
        <v>129</v>
      </c>
    </row>
    <row r="11" spans="1:10" x14ac:dyDescent="0.3">
      <c r="A11" s="6" t="s">
        <v>96</v>
      </c>
      <c r="B11" s="13">
        <v>9702.7000000000007</v>
      </c>
      <c r="C11" s="13">
        <v>1144655.05</v>
      </c>
      <c r="D11" s="8" t="s">
        <v>22</v>
      </c>
      <c r="E11" s="109">
        <f t="shared" ref="E11:E15" si="3">B11/C11</f>
        <v>8.4765274918413205E-3</v>
      </c>
      <c r="F11" s="100" t="s">
        <v>67</v>
      </c>
      <c r="G11" s="109">
        <f t="shared" ref="G11:G15" si="4">IF(F11="Yes",E11,"")</f>
        <v>8.4765274918413205E-3</v>
      </c>
      <c r="H11" s="9" t="s">
        <v>130</v>
      </c>
      <c r="I11" s="9" t="s">
        <v>135</v>
      </c>
      <c r="J11" s="9" t="s">
        <v>129</v>
      </c>
    </row>
    <row r="12" spans="1:10" x14ac:dyDescent="0.3">
      <c r="A12" s="6" t="s">
        <v>97</v>
      </c>
      <c r="B12" s="13">
        <v>3418.31</v>
      </c>
      <c r="C12" s="13">
        <v>405622.25</v>
      </c>
      <c r="D12" s="8" t="s">
        <v>22</v>
      </c>
      <c r="E12" s="109">
        <f t="shared" si="3"/>
        <v>8.427323698342485E-3</v>
      </c>
      <c r="F12" s="100"/>
      <c r="G12" s="109"/>
      <c r="H12" s="9" t="s">
        <v>136</v>
      </c>
      <c r="I12" s="9" t="s">
        <v>137</v>
      </c>
      <c r="J12" s="9" t="s">
        <v>129</v>
      </c>
    </row>
    <row r="13" spans="1:10" x14ac:dyDescent="0.3">
      <c r="A13" s="6" t="s">
        <v>98</v>
      </c>
      <c r="B13" s="13">
        <v>347.6</v>
      </c>
      <c r="C13" s="13">
        <v>41533.160000000003</v>
      </c>
      <c r="D13" s="8" t="s">
        <v>22</v>
      </c>
      <c r="E13" s="109">
        <f t="shared" si="3"/>
        <v>8.3692163081258448E-3</v>
      </c>
      <c r="F13" s="100" t="s">
        <v>67</v>
      </c>
      <c r="G13" s="109">
        <f t="shared" si="4"/>
        <v>8.3692163081258448E-3</v>
      </c>
      <c r="H13" s="9" t="s">
        <v>130</v>
      </c>
      <c r="I13" s="9" t="s">
        <v>138</v>
      </c>
      <c r="J13" s="9" t="s">
        <v>129</v>
      </c>
    </row>
    <row r="14" spans="1:10" x14ac:dyDescent="0.3">
      <c r="A14" s="6" t="s">
        <v>99</v>
      </c>
      <c r="B14" s="13">
        <v>10453.15</v>
      </c>
      <c r="C14" s="13">
        <v>1261222.8500000001</v>
      </c>
      <c r="D14" s="8" t="s">
        <v>22</v>
      </c>
      <c r="E14" s="109">
        <f t="shared" si="3"/>
        <v>8.2881070541974394E-3</v>
      </c>
      <c r="F14" s="100" t="s">
        <v>67</v>
      </c>
      <c r="G14" s="109">
        <f t="shared" si="4"/>
        <v>8.2881070541974394E-3</v>
      </c>
      <c r="H14" s="9" t="s">
        <v>130</v>
      </c>
      <c r="I14" s="9" t="s">
        <v>139</v>
      </c>
      <c r="J14" s="9" t="s">
        <v>129</v>
      </c>
    </row>
    <row r="15" spans="1:10" x14ac:dyDescent="0.3">
      <c r="A15" s="6" t="s">
        <v>100</v>
      </c>
      <c r="B15" s="13">
        <v>1276.02</v>
      </c>
      <c r="C15" s="13">
        <v>155588.42000000001</v>
      </c>
      <c r="D15" s="8" t="s">
        <v>22</v>
      </c>
      <c r="E15" s="109">
        <f t="shared" si="3"/>
        <v>8.2012530238432906E-3</v>
      </c>
      <c r="F15" s="100" t="s">
        <v>67</v>
      </c>
      <c r="G15" s="109">
        <f t="shared" si="4"/>
        <v>8.2012530238432906E-3</v>
      </c>
      <c r="H15" s="9" t="s">
        <v>130</v>
      </c>
      <c r="I15" s="9" t="s">
        <v>140</v>
      </c>
      <c r="J15" s="9" t="s">
        <v>129</v>
      </c>
    </row>
    <row r="16" spans="1:10" x14ac:dyDescent="0.3">
      <c r="A16" s="6" t="s">
        <v>101</v>
      </c>
      <c r="B16" s="13">
        <v>6439.08</v>
      </c>
      <c r="C16" s="13">
        <v>798052.8</v>
      </c>
      <c r="D16" s="8" t="s">
        <v>22</v>
      </c>
      <c r="E16" s="109">
        <f t="shared" si="1"/>
        <v>8.0684887014994492E-3</v>
      </c>
      <c r="F16" s="100" t="s">
        <v>67</v>
      </c>
      <c r="G16" s="109">
        <f t="shared" si="2"/>
        <v>8.0684887014994492E-3</v>
      </c>
      <c r="H16" s="9" t="s">
        <v>130</v>
      </c>
      <c r="I16" s="9" t="s">
        <v>141</v>
      </c>
      <c r="J16" s="9" t="s">
        <v>129</v>
      </c>
    </row>
    <row r="17" spans="1:10" x14ac:dyDescent="0.3">
      <c r="A17" s="6" t="s">
        <v>102</v>
      </c>
      <c r="B17" s="13">
        <v>4673.55</v>
      </c>
      <c r="C17" s="13">
        <v>697958.72</v>
      </c>
      <c r="D17" s="8" t="s">
        <v>22</v>
      </c>
      <c r="E17" s="109">
        <f t="shared" si="1"/>
        <v>6.6960263781789282E-3</v>
      </c>
      <c r="F17" s="100"/>
      <c r="G17" s="109"/>
      <c r="H17" s="9" t="s">
        <v>142</v>
      </c>
      <c r="I17" s="9" t="s">
        <v>143</v>
      </c>
      <c r="J17" s="9" t="s">
        <v>129</v>
      </c>
    </row>
    <row r="18" spans="1:10" x14ac:dyDescent="0.3">
      <c r="A18" s="6" t="s">
        <v>103</v>
      </c>
      <c r="B18" s="13">
        <v>21056.55</v>
      </c>
      <c r="C18" s="13">
        <v>2388792.63</v>
      </c>
      <c r="D18" s="8" t="s">
        <v>22</v>
      </c>
      <c r="E18" s="109">
        <f t="shared" si="1"/>
        <v>8.8147249516589473E-3</v>
      </c>
      <c r="F18" s="100"/>
      <c r="G18" s="109"/>
      <c r="H18" s="9" t="s">
        <v>136</v>
      </c>
      <c r="I18" s="9" t="s">
        <v>144</v>
      </c>
      <c r="J18" s="9" t="s">
        <v>134</v>
      </c>
    </row>
    <row r="19" spans="1:10" x14ac:dyDescent="0.3">
      <c r="A19" s="6" t="s">
        <v>104</v>
      </c>
      <c r="B19" s="13">
        <v>5789.17</v>
      </c>
      <c r="C19" s="13">
        <v>642601.96</v>
      </c>
      <c r="D19" s="8" t="s">
        <v>22</v>
      </c>
      <c r="E19" s="109">
        <f t="shared" si="1"/>
        <v>9.0089516689304851E-3</v>
      </c>
      <c r="F19" s="100"/>
      <c r="G19" s="109"/>
      <c r="H19" s="9" t="s">
        <v>136</v>
      </c>
      <c r="I19" s="9" t="s">
        <v>146</v>
      </c>
      <c r="J19" s="9" t="s">
        <v>129</v>
      </c>
    </row>
    <row r="20" spans="1:10" x14ac:dyDescent="0.3">
      <c r="A20" s="6" t="s">
        <v>105</v>
      </c>
      <c r="B20" s="13">
        <v>5539.52</v>
      </c>
      <c r="C20" s="13">
        <v>611670.06000000006</v>
      </c>
      <c r="D20" s="8" t="s">
        <v>22</v>
      </c>
      <c r="E20" s="109">
        <f t="shared" ref="E20:E34" si="5">B20/C20</f>
        <v>9.0563857253369573E-3</v>
      </c>
      <c r="F20" s="100" t="s">
        <v>67</v>
      </c>
      <c r="G20" s="109">
        <f t="shared" ref="G20:G33" si="6">IF(F20="Yes",E20,"")</f>
        <v>9.0563857253369573E-3</v>
      </c>
      <c r="H20" s="9" t="s">
        <v>130</v>
      </c>
      <c r="I20" s="9" t="s">
        <v>148</v>
      </c>
      <c r="J20" s="9" t="s">
        <v>129</v>
      </c>
    </row>
    <row r="21" spans="1:10" x14ac:dyDescent="0.3">
      <c r="A21" s="6" t="s">
        <v>106</v>
      </c>
      <c r="B21" s="13">
        <v>2199.2399999999998</v>
      </c>
      <c r="C21" s="13">
        <v>229878.6</v>
      </c>
      <c r="D21" s="8" t="s">
        <v>22</v>
      </c>
      <c r="E21" s="109">
        <f t="shared" si="5"/>
        <v>9.5669627359832518E-3</v>
      </c>
      <c r="F21" s="100" t="s">
        <v>67</v>
      </c>
      <c r="G21" s="109">
        <f t="shared" si="6"/>
        <v>9.5669627359832518E-3</v>
      </c>
      <c r="H21" s="9" t="s">
        <v>130</v>
      </c>
      <c r="I21" s="9" t="s">
        <v>139</v>
      </c>
      <c r="J21" s="9" t="s">
        <v>129</v>
      </c>
    </row>
    <row r="22" spans="1:10" x14ac:dyDescent="0.3">
      <c r="A22" s="6" t="s">
        <v>149</v>
      </c>
      <c r="B22" s="13">
        <v>2290.37</v>
      </c>
      <c r="C22" s="13">
        <v>236570.04</v>
      </c>
      <c r="D22" s="8" t="s">
        <v>22</v>
      </c>
      <c r="E22" s="109">
        <f t="shared" si="5"/>
        <v>9.6815725271044463E-3</v>
      </c>
      <c r="F22" s="100" t="s">
        <v>67</v>
      </c>
      <c r="G22" s="109">
        <f t="shared" si="6"/>
        <v>9.6815725271044463E-3</v>
      </c>
      <c r="H22" s="9" t="s">
        <v>130</v>
      </c>
      <c r="I22" s="9" t="s">
        <v>146</v>
      </c>
      <c r="J22" s="9" t="s">
        <v>129</v>
      </c>
    </row>
    <row r="23" spans="1:10" x14ac:dyDescent="0.3">
      <c r="A23" s="6" t="s">
        <v>107</v>
      </c>
      <c r="B23" s="13">
        <v>1558.28</v>
      </c>
      <c r="C23" s="13">
        <v>159839.66</v>
      </c>
      <c r="D23" s="8" t="s">
        <v>22</v>
      </c>
      <c r="E23" s="109">
        <f t="shared" si="5"/>
        <v>9.7490197364033422E-3</v>
      </c>
      <c r="F23" s="100"/>
      <c r="G23" s="109"/>
      <c r="H23" s="9" t="s">
        <v>136</v>
      </c>
      <c r="I23" s="9" t="s">
        <v>150</v>
      </c>
      <c r="J23" s="9" t="s">
        <v>129</v>
      </c>
    </row>
    <row r="24" spans="1:10" x14ac:dyDescent="0.3">
      <c r="A24" s="6" t="s">
        <v>7</v>
      </c>
      <c r="B24" s="13">
        <v>3210.57</v>
      </c>
      <c r="C24" s="13">
        <v>320071.89</v>
      </c>
      <c r="D24" s="8" t="s">
        <v>22</v>
      </c>
      <c r="E24" s="109">
        <f t="shared" si="5"/>
        <v>1.0030777773080916E-2</v>
      </c>
      <c r="F24" s="100" t="s">
        <v>67</v>
      </c>
      <c r="G24" s="109">
        <f t="shared" si="6"/>
        <v>1.0030777773080916E-2</v>
      </c>
      <c r="H24" s="9" t="s">
        <v>130</v>
      </c>
      <c r="I24" s="9" t="s">
        <v>140</v>
      </c>
      <c r="J24" s="9" t="s">
        <v>129</v>
      </c>
    </row>
    <row r="25" spans="1:10" x14ac:dyDescent="0.3">
      <c r="A25" s="6" t="s">
        <v>108</v>
      </c>
      <c r="B25" s="13">
        <v>1905.94</v>
      </c>
      <c r="C25" s="13">
        <v>187397.98</v>
      </c>
      <c r="D25" s="8" t="s">
        <v>22</v>
      </c>
      <c r="E25" s="109">
        <f t="shared" ref="E25:E32" si="7">B25/C25</f>
        <v>1.0170547195866252E-2</v>
      </c>
      <c r="F25" s="100" t="s">
        <v>67</v>
      </c>
      <c r="G25" s="109">
        <f t="shared" ref="G25:G32" si="8">IF(F25="Yes",E25,"")</f>
        <v>1.0170547195866252E-2</v>
      </c>
      <c r="H25" s="9" t="s">
        <v>130</v>
      </c>
      <c r="I25" s="9" t="s">
        <v>151</v>
      </c>
      <c r="J25" s="9" t="s">
        <v>134</v>
      </c>
    </row>
    <row r="26" spans="1:10" x14ac:dyDescent="0.3">
      <c r="A26" s="6" t="s">
        <v>109</v>
      </c>
      <c r="B26" s="13">
        <v>9424.17</v>
      </c>
      <c r="C26" s="13">
        <v>885258.97</v>
      </c>
      <c r="D26" s="8" t="s">
        <v>22</v>
      </c>
      <c r="E26" s="109">
        <f t="shared" si="7"/>
        <v>1.0645664511030033E-2</v>
      </c>
      <c r="F26" s="100" t="s">
        <v>67</v>
      </c>
      <c r="G26" s="109">
        <f t="shared" si="8"/>
        <v>1.0645664511030033E-2</v>
      </c>
      <c r="H26" s="9" t="s">
        <v>130</v>
      </c>
      <c r="I26" s="9" t="s">
        <v>141</v>
      </c>
      <c r="J26" s="9" t="s">
        <v>129</v>
      </c>
    </row>
    <row r="27" spans="1:10" x14ac:dyDescent="0.3">
      <c r="A27" s="6" t="s">
        <v>110</v>
      </c>
      <c r="B27" s="13">
        <v>5009.29</v>
      </c>
      <c r="C27" s="13">
        <v>454376.58</v>
      </c>
      <c r="D27" s="8" t="s">
        <v>22</v>
      </c>
      <c r="E27" s="109">
        <f t="shared" si="7"/>
        <v>1.1024533878924834E-2</v>
      </c>
      <c r="F27" s="100" t="s">
        <v>67</v>
      </c>
      <c r="G27" s="109">
        <f t="shared" si="8"/>
        <v>1.1024533878924834E-2</v>
      </c>
      <c r="H27" s="9" t="s">
        <v>130</v>
      </c>
      <c r="I27" s="9" t="s">
        <v>152</v>
      </c>
      <c r="J27" s="9" t="s">
        <v>129</v>
      </c>
    </row>
    <row r="28" spans="1:10" x14ac:dyDescent="0.3">
      <c r="A28" s="6" t="s">
        <v>111</v>
      </c>
      <c r="B28" s="13">
        <v>2102.3200000000002</v>
      </c>
      <c r="C28" s="13">
        <v>177230.46</v>
      </c>
      <c r="D28" s="8" t="s">
        <v>22</v>
      </c>
      <c r="E28" s="109">
        <f t="shared" si="7"/>
        <v>1.1862069307950791E-2</v>
      </c>
      <c r="F28" s="100" t="s">
        <v>67</v>
      </c>
      <c r="G28" s="109">
        <f t="shared" si="8"/>
        <v>1.1862069307950791E-2</v>
      </c>
      <c r="H28" s="9" t="s">
        <v>130</v>
      </c>
      <c r="I28" s="9" t="s">
        <v>153</v>
      </c>
      <c r="J28" s="9" t="s">
        <v>129</v>
      </c>
    </row>
    <row r="29" spans="1:10" x14ac:dyDescent="0.3">
      <c r="A29" s="6" t="s">
        <v>112</v>
      </c>
      <c r="B29" s="13">
        <v>5263.24</v>
      </c>
      <c r="C29" s="13">
        <v>424701.71</v>
      </c>
      <c r="D29" s="8" t="s">
        <v>22</v>
      </c>
      <c r="E29" s="109">
        <f t="shared" si="7"/>
        <v>1.2392792108136319E-2</v>
      </c>
      <c r="F29" s="100" t="s">
        <v>67</v>
      </c>
      <c r="G29" s="109">
        <f t="shared" si="8"/>
        <v>1.2392792108136319E-2</v>
      </c>
      <c r="H29" s="9" t="s">
        <v>130</v>
      </c>
      <c r="I29" s="9" t="s">
        <v>135</v>
      </c>
      <c r="J29" s="9" t="s">
        <v>129</v>
      </c>
    </row>
    <row r="30" spans="1:10" x14ac:dyDescent="0.3">
      <c r="A30" s="6" t="s">
        <v>113</v>
      </c>
      <c r="B30" s="13">
        <v>8764.9500000000007</v>
      </c>
      <c r="C30" s="13">
        <v>684456.77</v>
      </c>
      <c r="D30" s="8" t="s">
        <v>22</v>
      </c>
      <c r="E30" s="109">
        <f t="shared" si="7"/>
        <v>1.2805702834965019E-2</v>
      </c>
      <c r="F30" s="100"/>
      <c r="G30" s="109"/>
      <c r="H30" s="9" t="s">
        <v>132</v>
      </c>
      <c r="I30" s="9" t="s">
        <v>154</v>
      </c>
      <c r="J30" s="9" t="s">
        <v>129</v>
      </c>
    </row>
    <row r="31" spans="1:10" x14ac:dyDescent="0.3">
      <c r="A31" s="6" t="s">
        <v>114</v>
      </c>
      <c r="B31" s="13">
        <v>8305.85</v>
      </c>
      <c r="C31" s="13">
        <v>615922</v>
      </c>
      <c r="D31" s="8" t="s">
        <v>22</v>
      </c>
      <c r="E31" s="109">
        <f t="shared" si="7"/>
        <v>1.3485230272664397E-2</v>
      </c>
      <c r="F31" s="100" t="s">
        <v>67</v>
      </c>
      <c r="G31" s="109">
        <f t="shared" si="8"/>
        <v>1.3485230272664397E-2</v>
      </c>
      <c r="H31" s="9" t="s">
        <v>130</v>
      </c>
      <c r="I31" s="9" t="s">
        <v>155</v>
      </c>
      <c r="J31" s="9" t="s">
        <v>156</v>
      </c>
    </row>
    <row r="32" spans="1:10" x14ac:dyDescent="0.3">
      <c r="A32" s="6" t="s">
        <v>115</v>
      </c>
      <c r="B32" s="13">
        <v>2059.46</v>
      </c>
      <c r="C32" s="13">
        <v>152435.75</v>
      </c>
      <c r="D32" s="8" t="s">
        <v>22</v>
      </c>
      <c r="E32" s="109">
        <f t="shared" si="7"/>
        <v>1.3510347802270794E-2</v>
      </c>
      <c r="F32" s="100" t="s">
        <v>67</v>
      </c>
      <c r="G32" s="109">
        <f t="shared" si="8"/>
        <v>1.3510347802270794E-2</v>
      </c>
      <c r="H32" s="9" t="s">
        <v>130</v>
      </c>
      <c r="I32" s="9" t="s">
        <v>135</v>
      </c>
      <c r="J32" s="9" t="s">
        <v>129</v>
      </c>
    </row>
    <row r="33" spans="1:10" x14ac:dyDescent="0.3">
      <c r="A33" s="6" t="s">
        <v>6</v>
      </c>
      <c r="B33" s="13">
        <v>4650.13</v>
      </c>
      <c r="C33" s="13">
        <v>328887.12</v>
      </c>
      <c r="D33" s="8" t="s">
        <v>22</v>
      </c>
      <c r="E33" s="109">
        <f t="shared" si="5"/>
        <v>1.4138984828594079E-2</v>
      </c>
      <c r="F33" s="100" t="s">
        <v>67</v>
      </c>
      <c r="G33" s="109">
        <f t="shared" si="6"/>
        <v>1.4138984828594079E-2</v>
      </c>
      <c r="H33" s="9" t="s">
        <v>130</v>
      </c>
      <c r="I33" s="9" t="s">
        <v>148</v>
      </c>
      <c r="J33" s="9" t="s">
        <v>129</v>
      </c>
    </row>
    <row r="34" spans="1:10" x14ac:dyDescent="0.3">
      <c r="A34" s="6" t="s">
        <v>116</v>
      </c>
      <c r="B34" s="13">
        <v>6071.66</v>
      </c>
      <c r="C34" s="13">
        <v>428252.13</v>
      </c>
      <c r="D34" s="8" t="s">
        <v>22</v>
      </c>
      <c r="E34" s="109">
        <f t="shared" si="5"/>
        <v>1.4177769530299825E-2</v>
      </c>
      <c r="F34" s="100"/>
      <c r="G34" s="109"/>
      <c r="H34" s="9" t="s">
        <v>132</v>
      </c>
      <c r="I34" s="9" t="s">
        <v>157</v>
      </c>
      <c r="J34" s="9" t="s">
        <v>129</v>
      </c>
    </row>
    <row r="35" spans="1:10" x14ac:dyDescent="0.3">
      <c r="A35" s="6" t="s">
        <v>117</v>
      </c>
      <c r="B35" s="13">
        <v>24752.38</v>
      </c>
      <c r="C35" s="13">
        <v>1703515.46</v>
      </c>
      <c r="D35" s="8" t="s">
        <v>22</v>
      </c>
      <c r="E35" s="109">
        <f t="shared" si="1"/>
        <v>1.4530176321381904E-2</v>
      </c>
      <c r="F35" s="100" t="s">
        <v>67</v>
      </c>
      <c r="G35" s="109">
        <f t="shared" si="2"/>
        <v>1.4530176321381904E-2</v>
      </c>
      <c r="H35" s="9" t="s">
        <v>130</v>
      </c>
      <c r="I35" s="9" t="s">
        <v>158</v>
      </c>
      <c r="J35" s="9" t="s">
        <v>134</v>
      </c>
    </row>
    <row r="36" spans="1:10" x14ac:dyDescent="0.3">
      <c r="A36" s="6" t="s">
        <v>118</v>
      </c>
      <c r="B36" s="13">
        <v>4154.99</v>
      </c>
      <c r="C36" s="13">
        <v>253154.83</v>
      </c>
      <c r="D36" s="8" t="s">
        <v>22</v>
      </c>
      <c r="E36" s="109">
        <f t="shared" ref="E36" si="9">B36/C36</f>
        <v>1.6412841105974553E-2</v>
      </c>
      <c r="F36" s="100" t="s">
        <v>67</v>
      </c>
      <c r="G36" s="109">
        <f t="shared" ref="G36" si="10">IF(F36="Yes",E36,"")</f>
        <v>1.6412841105974553E-2</v>
      </c>
      <c r="H36" s="9" t="s">
        <v>130</v>
      </c>
      <c r="I36" s="9" t="s">
        <v>159</v>
      </c>
      <c r="J36" s="9" t="s">
        <v>129</v>
      </c>
    </row>
    <row r="37" spans="1:10" x14ac:dyDescent="0.3">
      <c r="A37" s="6" t="s">
        <v>119</v>
      </c>
      <c r="B37" s="13">
        <v>23281.64</v>
      </c>
      <c r="C37" s="13">
        <v>1325890.67</v>
      </c>
      <c r="D37" s="8" t="s">
        <v>22</v>
      </c>
      <c r="E37" s="109">
        <f t="shared" ref="E37" si="11">B37/C37</f>
        <v>1.7559245665406183E-2</v>
      </c>
      <c r="F37" s="100" t="s">
        <v>67</v>
      </c>
      <c r="G37" s="109">
        <f t="shared" ref="G37" si="12">IF(F37="Yes",E37,"")</f>
        <v>1.7559245665406183E-2</v>
      </c>
      <c r="H37" s="9" t="s">
        <v>130</v>
      </c>
      <c r="I37" s="9" t="s">
        <v>160</v>
      </c>
      <c r="J37" s="9" t="s">
        <v>129</v>
      </c>
    </row>
    <row r="38" spans="1:10" x14ac:dyDescent="0.3">
      <c r="A38" s="6" t="s">
        <v>120</v>
      </c>
      <c r="B38" s="13">
        <v>7407.17</v>
      </c>
      <c r="C38" s="13">
        <v>420771.29</v>
      </c>
      <c r="D38" s="8" t="s">
        <v>22</v>
      </c>
      <c r="E38" s="109">
        <f t="shared" ref="E38:E46" si="13">B38/C38</f>
        <v>1.7603791361335514E-2</v>
      </c>
      <c r="F38" s="100"/>
      <c r="G38" s="109"/>
      <c r="H38" s="9" t="s">
        <v>136</v>
      </c>
      <c r="I38" s="9" t="s">
        <v>161</v>
      </c>
      <c r="J38" s="9" t="s">
        <v>134</v>
      </c>
    </row>
    <row r="39" spans="1:10" x14ac:dyDescent="0.3">
      <c r="A39" s="6" t="s">
        <v>121</v>
      </c>
      <c r="B39" s="13">
        <v>7824.31</v>
      </c>
      <c r="C39" s="13">
        <v>428566.69</v>
      </c>
      <c r="D39" s="8" t="s">
        <v>22</v>
      </c>
      <c r="E39" s="109">
        <f t="shared" si="13"/>
        <v>1.8256925194069563E-2</v>
      </c>
      <c r="F39" s="100"/>
      <c r="G39" s="109"/>
      <c r="H39" s="9" t="s">
        <v>132</v>
      </c>
      <c r="I39" s="9" t="s">
        <v>162</v>
      </c>
      <c r="J39" s="9" t="s">
        <v>129</v>
      </c>
    </row>
    <row r="40" spans="1:10" x14ac:dyDescent="0.3">
      <c r="A40" s="6" t="s">
        <v>122</v>
      </c>
      <c r="B40" s="13">
        <v>3379.41</v>
      </c>
      <c r="C40" s="13">
        <v>590638.34</v>
      </c>
      <c r="D40" s="8" t="s">
        <v>22</v>
      </c>
      <c r="E40" s="109">
        <f t="shared" ref="E40:E41" si="14">B40/C40</f>
        <v>5.7216231509793283E-3</v>
      </c>
      <c r="F40" s="100" t="s">
        <v>67</v>
      </c>
      <c r="G40" s="109">
        <f t="shared" ref="G40" si="15">IF(F40="Yes",E40,"")</f>
        <v>5.7216231509793283E-3</v>
      </c>
      <c r="H40" s="9" t="s">
        <v>130</v>
      </c>
      <c r="I40" s="9" t="s">
        <v>144</v>
      </c>
      <c r="J40" s="9" t="s">
        <v>134</v>
      </c>
    </row>
    <row r="41" spans="1:10" x14ac:dyDescent="0.3">
      <c r="A41" s="6" t="s">
        <v>123</v>
      </c>
      <c r="B41" s="13">
        <v>991.97</v>
      </c>
      <c r="C41" s="13">
        <v>191891.46</v>
      </c>
      <c r="D41" s="8" t="s">
        <v>22</v>
      </c>
      <c r="E41" s="109">
        <f t="shared" si="14"/>
        <v>5.1694327616247232E-3</v>
      </c>
      <c r="F41" s="100"/>
      <c r="G41" s="109"/>
      <c r="H41" s="9" t="s">
        <v>132</v>
      </c>
      <c r="I41" s="9" t="s">
        <v>163</v>
      </c>
      <c r="J41" s="9" t="s">
        <v>129</v>
      </c>
    </row>
    <row r="42" spans="1:10" x14ac:dyDescent="0.3">
      <c r="A42" s="6" t="s">
        <v>124</v>
      </c>
      <c r="B42" s="13">
        <v>1275.9000000000001</v>
      </c>
      <c r="C42" s="13">
        <v>274719.65999999997</v>
      </c>
      <c r="D42" s="8" t="s">
        <v>22</v>
      </c>
      <c r="E42" s="109">
        <f t="shared" si="13"/>
        <v>4.6443709197951108E-3</v>
      </c>
      <c r="F42" s="100"/>
      <c r="G42" s="109"/>
      <c r="H42" s="9" t="s">
        <v>132</v>
      </c>
      <c r="I42" s="9" t="s">
        <v>150</v>
      </c>
      <c r="J42" s="9" t="s">
        <v>129</v>
      </c>
    </row>
    <row r="43" spans="1:10" x14ac:dyDescent="0.3">
      <c r="A43" s="6" t="s">
        <v>170</v>
      </c>
      <c r="B43" s="13">
        <v>606.27</v>
      </c>
      <c r="C43" s="13">
        <v>184682.6</v>
      </c>
      <c r="D43" s="8" t="s">
        <v>22</v>
      </c>
      <c r="E43" s="109">
        <f t="shared" ref="E43" si="16">B43/C43</f>
        <v>3.2827672991391716E-3</v>
      </c>
      <c r="F43" s="100"/>
      <c r="G43" s="109"/>
      <c r="H43" s="9" t="s">
        <v>132</v>
      </c>
      <c r="I43" s="9" t="s">
        <v>150</v>
      </c>
      <c r="J43" s="9" t="s">
        <v>129</v>
      </c>
    </row>
    <row r="44" spans="1:10" x14ac:dyDescent="0.3">
      <c r="A44" s="6" t="s">
        <v>165</v>
      </c>
      <c r="B44" s="13">
        <v>1061.44</v>
      </c>
      <c r="C44" s="13">
        <v>165972.07999999999</v>
      </c>
      <c r="D44" s="8" t="s">
        <v>22</v>
      </c>
      <c r="E44" s="109">
        <f t="shared" ref="E44" si="17">B44/C44</f>
        <v>6.3952925094389376E-3</v>
      </c>
      <c r="F44" s="100"/>
      <c r="G44" s="109"/>
      <c r="H44" s="9" t="s">
        <v>169</v>
      </c>
      <c r="I44" s="9" t="s">
        <v>171</v>
      </c>
      <c r="J44" s="9" t="s">
        <v>134</v>
      </c>
    </row>
    <row r="45" spans="1:10" x14ac:dyDescent="0.3">
      <c r="A45" s="6" t="s">
        <v>166</v>
      </c>
      <c r="B45" s="13">
        <v>744.47</v>
      </c>
      <c r="C45" s="13">
        <v>162049.41</v>
      </c>
      <c r="D45" s="8" t="s">
        <v>22</v>
      </c>
      <c r="E45" s="109">
        <f t="shared" si="13"/>
        <v>4.594092628908677E-3</v>
      </c>
      <c r="F45" s="100"/>
      <c r="G45" s="109"/>
      <c r="H45" s="9" t="s">
        <v>169</v>
      </c>
      <c r="I45" s="9" t="s">
        <v>172</v>
      </c>
      <c r="J45" s="9" t="s">
        <v>134</v>
      </c>
    </row>
    <row r="46" spans="1:10" x14ac:dyDescent="0.3">
      <c r="A46" s="6" t="s">
        <v>167</v>
      </c>
      <c r="B46" s="13">
        <v>247.45</v>
      </c>
      <c r="C46" s="13">
        <v>42990.54</v>
      </c>
      <c r="D46" s="8" t="s">
        <v>22</v>
      </c>
      <c r="E46" s="109">
        <f t="shared" si="13"/>
        <v>5.7559174646329165E-3</v>
      </c>
      <c r="F46" s="100" t="s">
        <v>67</v>
      </c>
      <c r="G46" s="109">
        <f t="shared" ref="G46" si="18">IF(F46="Yes",E46,"")</f>
        <v>5.7559174646329165E-3</v>
      </c>
      <c r="H46" s="9" t="s">
        <v>130</v>
      </c>
      <c r="I46" s="9" t="s">
        <v>173</v>
      </c>
      <c r="J46" s="9" t="s">
        <v>129</v>
      </c>
    </row>
    <row r="47" spans="1:10" x14ac:dyDescent="0.3">
      <c r="A47" s="6" t="s">
        <v>168</v>
      </c>
      <c r="B47" s="13">
        <v>520.87</v>
      </c>
      <c r="C47" s="13">
        <v>146656.01999999999</v>
      </c>
      <c r="D47" s="8" t="s">
        <v>22</v>
      </c>
      <c r="E47" s="109">
        <f t="shared" ref="E47" si="19">B47/C47</f>
        <v>3.5516441807162094E-3</v>
      </c>
      <c r="F47" s="100" t="s">
        <v>67</v>
      </c>
      <c r="G47" s="109">
        <f t="shared" ref="G47" si="20">IF(F47="Yes",E47,"")</f>
        <v>3.5516441807162094E-3</v>
      </c>
      <c r="H47" s="9" t="s">
        <v>130</v>
      </c>
      <c r="I47" s="9" t="s">
        <v>174</v>
      </c>
      <c r="J47" s="9" t="s">
        <v>129</v>
      </c>
    </row>
    <row r="48" spans="1:10" x14ac:dyDescent="0.3">
      <c r="A48" s="6" t="s">
        <v>95</v>
      </c>
      <c r="B48" s="13">
        <v>17183.59</v>
      </c>
      <c r="C48" s="13">
        <v>1717328.8</v>
      </c>
      <c r="D48" s="8" t="s">
        <v>22</v>
      </c>
      <c r="E48" s="109">
        <f t="shared" si="0"/>
        <v>1.0005998851239203E-2</v>
      </c>
      <c r="F48" s="100"/>
      <c r="G48" s="109"/>
      <c r="H48" s="9" t="s">
        <v>147</v>
      </c>
      <c r="I48" s="9" t="s">
        <v>164</v>
      </c>
      <c r="J48" s="9" t="s">
        <v>129</v>
      </c>
    </row>
    <row r="49" spans="1:10" x14ac:dyDescent="0.3">
      <c r="A49" s="6"/>
      <c r="B49" s="7"/>
      <c r="C49" s="7"/>
      <c r="D49" s="8"/>
      <c r="E49" s="110"/>
      <c r="F49" s="100"/>
      <c r="G49" s="110"/>
      <c r="H49" s="9"/>
      <c r="I49" s="9"/>
      <c r="J49" s="9"/>
    </row>
    <row r="50" spans="1:10" x14ac:dyDescent="0.3">
      <c r="A50" s="93" t="s">
        <v>340</v>
      </c>
      <c r="B50" s="94"/>
      <c r="C50" s="94">
        <f>B53</f>
        <v>260869.56521739133</v>
      </c>
      <c r="D50" s="95" t="s">
        <v>22</v>
      </c>
      <c r="E50" s="111">
        <f>IFERROR(E78*(B53^E79),0)</f>
        <v>8.7964826761484267E-3</v>
      </c>
      <c r="F50" s="97"/>
      <c r="G50" s="112">
        <f>IFERROR(F78*(B53^F79),0)</f>
        <v>9.5083354921079132E-3</v>
      </c>
      <c r="H50" s="108"/>
      <c r="I50" s="108"/>
      <c r="J50" s="108"/>
    </row>
    <row r="52" spans="1:10" x14ac:dyDescent="0.3">
      <c r="A52" s="163" t="s">
        <v>70</v>
      </c>
      <c r="B52" s="163"/>
    </row>
    <row r="53" spans="1:10" x14ac:dyDescent="0.3">
      <c r="A53" s="6" t="s">
        <v>229</v>
      </c>
      <c r="B53" s="103">
        <f>'Summary - MH'!D24</f>
        <v>260869.56521739133</v>
      </c>
    </row>
    <row r="54" spans="1:10" x14ac:dyDescent="0.3">
      <c r="A54" s="6" t="s">
        <v>230</v>
      </c>
      <c r="B54" s="113">
        <f>B53*E50</f>
        <v>2294.734611169155</v>
      </c>
    </row>
    <row r="55" spans="1:10" x14ac:dyDescent="0.3">
      <c r="A55" s="6" t="s">
        <v>231</v>
      </c>
      <c r="B55" s="113">
        <f>C50*G50</f>
        <v>2480.4353457672819</v>
      </c>
      <c r="E55" s="14"/>
    </row>
    <row r="77" spans="2:6" x14ac:dyDescent="0.3">
      <c r="E77" s="65" t="s">
        <v>339</v>
      </c>
      <c r="F77" s="65" t="s">
        <v>65</v>
      </c>
    </row>
    <row r="78" spans="2:6" x14ac:dyDescent="0.3">
      <c r="B78" t="s">
        <v>337</v>
      </c>
      <c r="C78" s="12">
        <f>AVERAGE(E5:E48)</f>
        <v>1.0386109946480156E-2</v>
      </c>
      <c r="E78" s="67" cm="1">
        <f t="array" ref="E78">EXP(INDEX(LINEST(LN(E5:E48),LN(C5:C48),,),1,2))</f>
        <v>1.0690804314395295E-3</v>
      </c>
      <c r="F78" s="67" cm="1">
        <f t="array" ref="F78">IFERROR(EXP(INDEX(LINEST(LN(_xlfn._xlws.FILTER(G5:G48, (C5:C48&gt;0)*(G5:G48&gt;0))), LN(_xlfn._xlws.FILTER(C5:C48, (C5:C48&gt;0)*(G5:G48&gt;0)))), 1, 2)),0)</f>
        <v>2.0927451629928597E-3</v>
      </c>
    </row>
    <row r="79" spans="2:6" x14ac:dyDescent="0.3">
      <c r="B79" t="s">
        <v>338</v>
      </c>
      <c r="C79" s="12">
        <f>STDEV(E5:E48)</f>
        <v>3.8223108617715285E-3</v>
      </c>
      <c r="E79" s="67" cm="1">
        <f t="array" ref="E79">INDEX(LINEST(LN(E5:E48),LN(C5:C48),,),1)</f>
        <v>0.1689858051079694</v>
      </c>
      <c r="F79" s="67" cm="1">
        <f t="array" ref="F79">IFERROR(INDEX(LINEST(LN(_xlfn._xlws.FILTER(G5:G48, (C5:C48&gt;0)*(G5:G48&gt;0))),LN(_xlfn._xlws.FILTER(C5:C48, (C5:C48&gt;0)*(G5:G48&gt;0)))),1),0)</f>
        <v>0.12136941665630244</v>
      </c>
    </row>
  </sheetData>
  <mergeCells count="3">
    <mergeCell ref="A52:B52"/>
    <mergeCell ref="A1:J1"/>
    <mergeCell ref="A2:J2"/>
  </mergeCells>
  <pageMargins left="0.7" right="0.7" top="0.75" bottom="0.75" header="0.3" footer="0.3"/>
  <pageSetup scale="4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8BD2-2BEE-4FA2-8C62-B8ED39F58FDF}">
  <sheetPr>
    <tabColor theme="8" tint="0.79998168889431442"/>
  </sheetPr>
  <dimension ref="A1:J145"/>
  <sheetViews>
    <sheetView view="pageBreakPreview" topLeftCell="A93" zoomScaleNormal="100" zoomScaleSheetLayoutView="100" workbookViewId="0">
      <selection activeCell="B121" sqref="B121"/>
    </sheetView>
  </sheetViews>
  <sheetFormatPr defaultRowHeight="14.4" x14ac:dyDescent="0.3"/>
  <cols>
    <col min="1" max="1" width="30.77734375" customWidth="1"/>
    <col min="2" max="3" width="15.77734375" customWidth="1"/>
    <col min="4" max="4" width="10.77734375" customWidth="1"/>
    <col min="5" max="6" width="15.77734375" customWidth="1"/>
    <col min="7" max="7" width="18.77734375" customWidth="1"/>
    <col min="8" max="8" width="25.77734375" customWidth="1"/>
    <col min="9" max="9" width="20.77734375" customWidth="1"/>
    <col min="10" max="10" width="15.77734375" customWidth="1"/>
  </cols>
  <sheetData>
    <row r="1" spans="1:10" ht="15.6" x14ac:dyDescent="0.3">
      <c r="A1" s="168" t="s">
        <v>91</v>
      </c>
      <c r="B1" s="169"/>
      <c r="C1" s="169"/>
      <c r="D1" s="169"/>
      <c r="E1" s="169"/>
      <c r="F1" s="169"/>
      <c r="G1" s="169"/>
      <c r="H1" s="169"/>
      <c r="I1" s="169"/>
      <c r="J1" s="170"/>
    </row>
    <row r="2" spans="1:10" x14ac:dyDescent="0.3">
      <c r="A2" s="171" t="s">
        <v>88</v>
      </c>
      <c r="B2" s="172"/>
      <c r="C2" s="172"/>
      <c r="D2" s="172"/>
      <c r="E2" s="172"/>
      <c r="F2" s="172"/>
      <c r="G2" s="172"/>
      <c r="H2" s="172"/>
      <c r="I2" s="172"/>
      <c r="J2" s="173"/>
    </row>
    <row r="4" spans="1:10" x14ac:dyDescent="0.3">
      <c r="A4" s="10" t="s">
        <v>1</v>
      </c>
      <c r="B4" s="10" t="s">
        <v>89</v>
      </c>
      <c r="C4" s="10" t="s">
        <v>63</v>
      </c>
      <c r="D4" s="10" t="s">
        <v>18</v>
      </c>
      <c r="E4" s="10" t="s">
        <v>64</v>
      </c>
      <c r="F4" s="10" t="s">
        <v>66</v>
      </c>
      <c r="G4" s="10" t="s">
        <v>65</v>
      </c>
      <c r="H4" s="10" t="s">
        <v>125</v>
      </c>
      <c r="I4" s="10" t="s">
        <v>126</v>
      </c>
      <c r="J4" s="10" t="s">
        <v>127</v>
      </c>
    </row>
    <row r="5" spans="1:10" x14ac:dyDescent="0.3">
      <c r="A5" s="6" t="s">
        <v>2</v>
      </c>
      <c r="B5" s="13">
        <v>7812.04</v>
      </c>
      <c r="C5" s="13">
        <v>2006033.03</v>
      </c>
      <c r="D5" s="8" t="s">
        <v>22</v>
      </c>
      <c r="E5" s="15">
        <f>B5/C5</f>
        <v>3.8942728674811501E-3</v>
      </c>
      <c r="F5" s="100" t="s">
        <v>67</v>
      </c>
      <c r="G5" s="15">
        <f>IF(F5="Yes",E5,"")</f>
        <v>3.8942728674811501E-3</v>
      </c>
      <c r="H5" s="9" t="s">
        <v>130</v>
      </c>
      <c r="I5" s="9" t="s">
        <v>128</v>
      </c>
      <c r="J5" s="9" t="s">
        <v>129</v>
      </c>
    </row>
    <row r="6" spans="1:10" x14ac:dyDescent="0.3">
      <c r="A6" s="6" t="s">
        <v>92</v>
      </c>
      <c r="B6" s="13">
        <v>1955.98</v>
      </c>
      <c r="C6" s="13">
        <v>820594.77</v>
      </c>
      <c r="D6" s="8" t="s">
        <v>22</v>
      </c>
      <c r="E6" s="15">
        <f t="shared" ref="E6:E69" si="0">B6/C6</f>
        <v>2.3836125594609869E-3</v>
      </c>
      <c r="F6" s="100"/>
      <c r="G6" s="15"/>
      <c r="H6" s="9" t="s">
        <v>132</v>
      </c>
      <c r="I6" s="9" t="s">
        <v>146</v>
      </c>
      <c r="J6" s="9" t="s">
        <v>129</v>
      </c>
    </row>
    <row r="7" spans="1:10" x14ac:dyDescent="0.3">
      <c r="A7" s="6" t="s">
        <v>93</v>
      </c>
      <c r="B7" s="13">
        <v>1491.45</v>
      </c>
      <c r="C7" s="13">
        <v>268033.91999999998</v>
      </c>
      <c r="D7" s="8" t="s">
        <v>22</v>
      </c>
      <c r="E7" s="15">
        <f t="shared" si="0"/>
        <v>5.5644076689995063E-3</v>
      </c>
      <c r="F7" s="100" t="s">
        <v>67</v>
      </c>
      <c r="G7" s="15">
        <f t="shared" ref="G7:G36" si="1">IF(F7="Yes",E7,"")</f>
        <v>5.5644076689995063E-3</v>
      </c>
      <c r="H7" s="9" t="s">
        <v>130</v>
      </c>
      <c r="I7" s="9" t="s">
        <v>128</v>
      </c>
      <c r="J7" s="9" t="s">
        <v>129</v>
      </c>
    </row>
    <row r="8" spans="1:10" x14ac:dyDescent="0.3">
      <c r="A8" s="6" t="s">
        <v>10</v>
      </c>
      <c r="B8" s="13">
        <v>809.18</v>
      </c>
      <c r="C8" s="13">
        <v>836559.23</v>
      </c>
      <c r="D8" s="8" t="s">
        <v>22</v>
      </c>
      <c r="E8" s="15">
        <f t="shared" si="0"/>
        <v>9.6727161805387047E-4</v>
      </c>
      <c r="F8" s="100"/>
      <c r="G8" s="15"/>
      <c r="H8" s="9" t="s">
        <v>132</v>
      </c>
      <c r="I8" s="9" t="s">
        <v>133</v>
      </c>
      <c r="J8" s="9" t="s">
        <v>129</v>
      </c>
    </row>
    <row r="9" spans="1:10" x14ac:dyDescent="0.3">
      <c r="A9" s="6" t="s">
        <v>6</v>
      </c>
      <c r="B9" s="13">
        <v>830.59</v>
      </c>
      <c r="C9" s="13">
        <v>368187.07</v>
      </c>
      <c r="D9" s="8" t="s">
        <v>22</v>
      </c>
      <c r="E9" s="15">
        <f t="shared" si="0"/>
        <v>2.2558912783113214E-3</v>
      </c>
      <c r="F9" s="100" t="s">
        <v>67</v>
      </c>
      <c r="G9" s="15">
        <f t="shared" si="1"/>
        <v>2.2558912783113214E-3</v>
      </c>
      <c r="H9" s="9" t="s">
        <v>130</v>
      </c>
      <c r="I9" s="9" t="s">
        <v>148</v>
      </c>
      <c r="J9" s="9" t="s">
        <v>129</v>
      </c>
    </row>
    <row r="10" spans="1:10" x14ac:dyDescent="0.3">
      <c r="A10" s="6" t="s">
        <v>90</v>
      </c>
      <c r="B10" s="13">
        <v>7441.71</v>
      </c>
      <c r="C10" s="13">
        <v>1290640.68</v>
      </c>
      <c r="D10" s="8" t="s">
        <v>22</v>
      </c>
      <c r="E10" s="15">
        <f t="shared" si="0"/>
        <v>5.7659037990341359E-3</v>
      </c>
      <c r="F10" s="100" t="s">
        <v>67</v>
      </c>
      <c r="G10" s="15">
        <f t="shared" si="1"/>
        <v>5.7659037990341359E-3</v>
      </c>
      <c r="H10" s="9" t="s">
        <v>130</v>
      </c>
      <c r="I10" s="9" t="s">
        <v>135</v>
      </c>
      <c r="J10" s="9" t="s">
        <v>129</v>
      </c>
    </row>
    <row r="11" spans="1:10" x14ac:dyDescent="0.3">
      <c r="A11" s="6" t="s">
        <v>117</v>
      </c>
      <c r="B11" s="13">
        <v>9542.25</v>
      </c>
      <c r="C11" s="13">
        <v>1784779.8</v>
      </c>
      <c r="D11" s="8" t="s">
        <v>22</v>
      </c>
      <c r="E11" s="15">
        <f t="shared" si="0"/>
        <v>5.3464578655585413E-3</v>
      </c>
      <c r="F11" s="100" t="s">
        <v>67</v>
      </c>
      <c r="G11" s="15">
        <f t="shared" si="1"/>
        <v>5.3464578655585413E-3</v>
      </c>
      <c r="H11" s="9" t="s">
        <v>130</v>
      </c>
      <c r="I11" s="9" t="s">
        <v>343</v>
      </c>
      <c r="J11" s="9" t="s">
        <v>134</v>
      </c>
    </row>
    <row r="12" spans="1:10" x14ac:dyDescent="0.3">
      <c r="A12" s="6" t="s">
        <v>5</v>
      </c>
      <c r="B12" s="13">
        <v>1889.68</v>
      </c>
      <c r="C12" s="13">
        <v>1403683.47</v>
      </c>
      <c r="D12" s="8" t="s">
        <v>22</v>
      </c>
      <c r="E12" s="15">
        <f t="shared" si="0"/>
        <v>1.3462294316253507E-3</v>
      </c>
      <c r="F12" s="100"/>
      <c r="G12" s="15"/>
      <c r="H12" s="9" t="s">
        <v>132</v>
      </c>
      <c r="I12" s="9" t="s">
        <v>131</v>
      </c>
      <c r="J12" s="9" t="s">
        <v>129</v>
      </c>
    </row>
    <row r="13" spans="1:10" x14ac:dyDescent="0.3">
      <c r="A13" s="6" t="s">
        <v>119</v>
      </c>
      <c r="B13" s="13">
        <v>2905.56</v>
      </c>
      <c r="C13" s="13">
        <v>1310255.1200000001</v>
      </c>
      <c r="D13" s="8" t="s">
        <v>22</v>
      </c>
      <c r="E13" s="15">
        <f t="shared" si="0"/>
        <v>2.2175528686352317E-3</v>
      </c>
      <c r="F13" s="100" t="s">
        <v>67</v>
      </c>
      <c r="G13" s="15">
        <f t="shared" si="1"/>
        <v>2.2175528686352317E-3</v>
      </c>
      <c r="H13" s="9" t="s">
        <v>130</v>
      </c>
      <c r="I13" s="9" t="s">
        <v>160</v>
      </c>
      <c r="J13" s="9" t="s">
        <v>134</v>
      </c>
    </row>
    <row r="14" spans="1:10" x14ac:dyDescent="0.3">
      <c r="A14" s="6" t="s">
        <v>344</v>
      </c>
      <c r="B14" s="13">
        <v>1935.06</v>
      </c>
      <c r="C14" s="13">
        <v>1091231.6000000001</v>
      </c>
      <c r="D14" s="8" t="s">
        <v>22</v>
      </c>
      <c r="E14" s="15">
        <f t="shared" si="0"/>
        <v>1.7732807590982516E-3</v>
      </c>
      <c r="F14" s="100" t="s">
        <v>67</v>
      </c>
      <c r="G14" s="15">
        <f t="shared" si="1"/>
        <v>1.7732807590982516E-3</v>
      </c>
      <c r="H14" s="9" t="s">
        <v>136</v>
      </c>
      <c r="I14" s="9" t="s">
        <v>345</v>
      </c>
      <c r="J14" s="9" t="s">
        <v>129</v>
      </c>
    </row>
    <row r="15" spans="1:10" x14ac:dyDescent="0.3">
      <c r="A15" s="6" t="s">
        <v>346</v>
      </c>
      <c r="B15" s="13">
        <v>1552.51</v>
      </c>
      <c r="C15" s="13">
        <v>914940.51</v>
      </c>
      <c r="D15" s="8" t="s">
        <v>22</v>
      </c>
      <c r="E15" s="15">
        <f t="shared" si="0"/>
        <v>1.6968425630208459E-3</v>
      </c>
      <c r="F15" s="100" t="s">
        <v>67</v>
      </c>
      <c r="G15" s="15">
        <f t="shared" si="1"/>
        <v>1.6968425630208459E-3</v>
      </c>
      <c r="H15" s="9" t="s">
        <v>130</v>
      </c>
      <c r="I15" s="9" t="s">
        <v>347</v>
      </c>
      <c r="J15" s="9" t="s">
        <v>129</v>
      </c>
    </row>
    <row r="16" spans="1:10" x14ac:dyDescent="0.3">
      <c r="A16" s="6" t="s">
        <v>348</v>
      </c>
      <c r="B16" s="13">
        <v>592.66</v>
      </c>
      <c r="C16" s="13">
        <v>823932.77</v>
      </c>
      <c r="D16" s="8" t="s">
        <v>22</v>
      </c>
      <c r="E16" s="15">
        <f t="shared" si="0"/>
        <v>7.1930626087368752E-4</v>
      </c>
      <c r="F16" s="100"/>
      <c r="G16" s="15"/>
      <c r="H16" s="9" t="s">
        <v>132</v>
      </c>
      <c r="I16" s="9" t="s">
        <v>140</v>
      </c>
      <c r="J16" s="9" t="s">
        <v>129</v>
      </c>
    </row>
    <row r="17" spans="1:10" x14ac:dyDescent="0.3">
      <c r="A17" s="6" t="s">
        <v>349</v>
      </c>
      <c r="B17" s="13">
        <v>1858.64</v>
      </c>
      <c r="C17" s="13">
        <v>691683.83</v>
      </c>
      <c r="D17" s="8" t="s">
        <v>22</v>
      </c>
      <c r="E17" s="15">
        <f t="shared" si="0"/>
        <v>2.6871236819284907E-3</v>
      </c>
      <c r="F17" s="100" t="s">
        <v>67</v>
      </c>
      <c r="G17" s="15">
        <f t="shared" si="1"/>
        <v>2.6871236819284907E-3</v>
      </c>
      <c r="H17" s="9" t="s">
        <v>130</v>
      </c>
      <c r="I17" s="9" t="s">
        <v>350</v>
      </c>
      <c r="J17" s="9" t="s">
        <v>129</v>
      </c>
    </row>
    <row r="18" spans="1:10" x14ac:dyDescent="0.3">
      <c r="A18" s="6" t="s">
        <v>105</v>
      </c>
      <c r="B18" s="13">
        <v>931.75</v>
      </c>
      <c r="C18" s="13">
        <v>628296.99</v>
      </c>
      <c r="D18" s="8" t="s">
        <v>22</v>
      </c>
      <c r="E18" s="15">
        <f t="shared" si="0"/>
        <v>1.4829770233341401E-3</v>
      </c>
      <c r="F18" s="100" t="s">
        <v>67</v>
      </c>
      <c r="G18" s="15">
        <f t="shared" si="1"/>
        <v>1.4829770233341401E-3</v>
      </c>
      <c r="H18" s="9" t="s">
        <v>130</v>
      </c>
      <c r="I18" s="9" t="s">
        <v>148</v>
      </c>
      <c r="J18" s="9" t="s">
        <v>129</v>
      </c>
    </row>
    <row r="19" spans="1:10" x14ac:dyDescent="0.3">
      <c r="A19" s="6" t="s">
        <v>12</v>
      </c>
      <c r="B19" s="13">
        <v>1551.47</v>
      </c>
      <c r="C19" s="13">
        <v>497061.58</v>
      </c>
      <c r="D19" s="8" t="s">
        <v>22</v>
      </c>
      <c r="E19" s="15">
        <f t="shared" si="0"/>
        <v>3.1212832824456076E-3</v>
      </c>
      <c r="F19" s="100" t="s">
        <v>67</v>
      </c>
      <c r="G19" s="15">
        <f t="shared" si="1"/>
        <v>3.1212832824456076E-3</v>
      </c>
      <c r="H19" s="9" t="s">
        <v>136</v>
      </c>
      <c r="I19" s="9" t="s">
        <v>351</v>
      </c>
      <c r="J19" s="9" t="s">
        <v>129</v>
      </c>
    </row>
    <row r="20" spans="1:10" x14ac:dyDescent="0.3">
      <c r="A20" s="6" t="s">
        <v>352</v>
      </c>
      <c r="B20" s="13">
        <v>649.54999999999995</v>
      </c>
      <c r="C20" s="13">
        <v>427748.52</v>
      </c>
      <c r="D20" s="8" t="s">
        <v>22</v>
      </c>
      <c r="E20" s="15">
        <f t="shared" si="0"/>
        <v>1.5185324311583824E-3</v>
      </c>
      <c r="F20" s="100"/>
      <c r="G20" s="15"/>
      <c r="H20" s="9" t="s">
        <v>132</v>
      </c>
      <c r="I20" s="9" t="s">
        <v>353</v>
      </c>
      <c r="J20" s="9" t="s">
        <v>129</v>
      </c>
    </row>
    <row r="21" spans="1:10" x14ac:dyDescent="0.3">
      <c r="A21" s="6" t="s">
        <v>149</v>
      </c>
      <c r="B21" s="13">
        <v>540.12</v>
      </c>
      <c r="C21" s="13">
        <v>270974.68</v>
      </c>
      <c r="D21" s="8" t="s">
        <v>22</v>
      </c>
      <c r="E21" s="15">
        <f t="shared" si="0"/>
        <v>1.9932489633348771E-3</v>
      </c>
      <c r="F21" s="100"/>
      <c r="G21" s="15"/>
      <c r="H21" s="9" t="s">
        <v>132</v>
      </c>
      <c r="I21" s="9" t="s">
        <v>354</v>
      </c>
      <c r="J21" s="9" t="s">
        <v>129</v>
      </c>
    </row>
    <row r="22" spans="1:10" x14ac:dyDescent="0.3">
      <c r="A22" s="6" t="s">
        <v>355</v>
      </c>
      <c r="B22" s="13">
        <v>1955.92</v>
      </c>
      <c r="C22" s="13">
        <v>262650</v>
      </c>
      <c r="D22" s="8" t="s">
        <v>22</v>
      </c>
      <c r="E22" s="15">
        <f t="shared" si="0"/>
        <v>7.4468684561203122E-3</v>
      </c>
      <c r="F22" s="100" t="s">
        <v>67</v>
      </c>
      <c r="G22" s="15">
        <f t="shared" si="1"/>
        <v>7.4468684561203122E-3</v>
      </c>
      <c r="H22" s="9" t="s">
        <v>130</v>
      </c>
      <c r="I22" s="9" t="s">
        <v>159</v>
      </c>
      <c r="J22" s="9" t="s">
        <v>129</v>
      </c>
    </row>
    <row r="23" spans="1:10" x14ac:dyDescent="0.3">
      <c r="A23" s="6" t="s">
        <v>356</v>
      </c>
      <c r="B23" s="13">
        <v>898.39</v>
      </c>
      <c r="C23" s="13">
        <v>256515.18</v>
      </c>
      <c r="D23" s="8" t="s">
        <v>22</v>
      </c>
      <c r="E23" s="15">
        <f t="shared" si="0"/>
        <v>3.5022878568044201E-3</v>
      </c>
      <c r="F23" s="100" t="s">
        <v>67</v>
      </c>
      <c r="G23" s="15">
        <f t="shared" si="1"/>
        <v>3.5022878568044201E-3</v>
      </c>
      <c r="H23" s="9" t="s">
        <v>130</v>
      </c>
      <c r="I23" s="9" t="s">
        <v>353</v>
      </c>
      <c r="J23" s="9" t="s">
        <v>129</v>
      </c>
    </row>
    <row r="24" spans="1:10" x14ac:dyDescent="0.3">
      <c r="A24" s="6" t="s">
        <v>357</v>
      </c>
      <c r="B24" s="13">
        <v>548.39</v>
      </c>
      <c r="C24" s="13">
        <v>253581.12</v>
      </c>
      <c r="D24" s="8" t="s">
        <v>22</v>
      </c>
      <c r="E24" s="15">
        <f t="shared" si="0"/>
        <v>2.1625821354523556E-3</v>
      </c>
      <c r="F24" s="100"/>
      <c r="G24" s="15"/>
      <c r="H24" s="9" t="s">
        <v>132</v>
      </c>
      <c r="I24" s="9" t="s">
        <v>358</v>
      </c>
      <c r="J24" s="9" t="s">
        <v>129</v>
      </c>
    </row>
    <row r="25" spans="1:10" x14ac:dyDescent="0.3">
      <c r="A25" s="6" t="s">
        <v>359</v>
      </c>
      <c r="B25" s="13">
        <v>846.77</v>
      </c>
      <c r="C25" s="13">
        <v>252986.82</v>
      </c>
      <c r="D25" s="8" t="s">
        <v>22</v>
      </c>
      <c r="E25" s="15">
        <f t="shared" si="0"/>
        <v>3.3470913623089137E-3</v>
      </c>
      <c r="F25" s="100"/>
      <c r="G25" s="15"/>
      <c r="H25" s="9" t="s">
        <v>132</v>
      </c>
      <c r="I25" s="9" t="s">
        <v>360</v>
      </c>
      <c r="J25" s="9" t="s">
        <v>129</v>
      </c>
    </row>
    <row r="26" spans="1:10" x14ac:dyDescent="0.3">
      <c r="A26" s="6" t="s">
        <v>361</v>
      </c>
      <c r="B26" s="13">
        <v>131.57</v>
      </c>
      <c r="C26" s="13">
        <v>229983.74</v>
      </c>
      <c r="D26" s="8" t="s">
        <v>22</v>
      </c>
      <c r="E26" s="15">
        <f t="shared" si="0"/>
        <v>5.7208392210684111E-4</v>
      </c>
      <c r="F26" s="100" t="s">
        <v>67</v>
      </c>
      <c r="G26" s="15">
        <f t="shared" si="1"/>
        <v>5.7208392210684111E-4</v>
      </c>
      <c r="H26" s="9" t="s">
        <v>130</v>
      </c>
      <c r="I26" s="9" t="s">
        <v>362</v>
      </c>
      <c r="J26" s="9" t="s">
        <v>129</v>
      </c>
    </row>
    <row r="27" spans="1:10" x14ac:dyDescent="0.3">
      <c r="A27" s="6" t="s">
        <v>363</v>
      </c>
      <c r="B27" s="13">
        <v>181.77</v>
      </c>
      <c r="C27" s="13">
        <v>214449.31</v>
      </c>
      <c r="D27" s="8" t="s">
        <v>22</v>
      </c>
      <c r="E27" s="15">
        <f t="shared" si="0"/>
        <v>8.4761289276239686E-4</v>
      </c>
      <c r="F27" s="100"/>
      <c r="G27" s="15"/>
      <c r="H27" s="9" t="s">
        <v>132</v>
      </c>
      <c r="I27" s="9" t="s">
        <v>140</v>
      </c>
      <c r="J27" s="9" t="s">
        <v>129</v>
      </c>
    </row>
    <row r="28" spans="1:10" x14ac:dyDescent="0.3">
      <c r="A28" s="6" t="s">
        <v>364</v>
      </c>
      <c r="B28" s="13">
        <v>216.41</v>
      </c>
      <c r="C28" s="13">
        <v>183706.28</v>
      </c>
      <c r="D28" s="8" t="s">
        <v>22</v>
      </c>
      <c r="E28" s="15">
        <f t="shared" si="0"/>
        <v>1.1780217856460868E-3</v>
      </c>
      <c r="F28" s="100" t="s">
        <v>67</v>
      </c>
      <c r="G28" s="15">
        <f t="shared" si="1"/>
        <v>1.1780217856460868E-3</v>
      </c>
      <c r="H28" s="9" t="s">
        <v>130</v>
      </c>
      <c r="I28" s="9" t="s">
        <v>365</v>
      </c>
      <c r="J28" s="9" t="s">
        <v>129</v>
      </c>
    </row>
    <row r="29" spans="1:10" x14ac:dyDescent="0.3">
      <c r="A29" s="6" t="s">
        <v>366</v>
      </c>
      <c r="B29" s="13">
        <v>464.64</v>
      </c>
      <c r="C29" s="13">
        <v>178931.16</v>
      </c>
      <c r="D29" s="8" t="s">
        <v>22</v>
      </c>
      <c r="E29" s="15">
        <f t="shared" si="0"/>
        <v>2.5967528517671264E-3</v>
      </c>
      <c r="F29" s="100"/>
      <c r="G29" s="15"/>
      <c r="H29" s="9" t="s">
        <v>132</v>
      </c>
      <c r="I29" s="9" t="s">
        <v>150</v>
      </c>
      <c r="J29" s="9" t="s">
        <v>129</v>
      </c>
    </row>
    <row r="30" spans="1:10" x14ac:dyDescent="0.3">
      <c r="A30" s="6" t="s">
        <v>367</v>
      </c>
      <c r="B30" s="13">
        <v>920.05</v>
      </c>
      <c r="C30" s="13">
        <v>175655.73</v>
      </c>
      <c r="D30" s="8" t="s">
        <v>22</v>
      </c>
      <c r="E30" s="15">
        <f t="shared" si="0"/>
        <v>5.237802376273179E-3</v>
      </c>
      <c r="F30" s="100"/>
      <c r="G30" s="15"/>
      <c r="H30" s="9" t="s">
        <v>132</v>
      </c>
      <c r="I30" s="9" t="s">
        <v>368</v>
      </c>
      <c r="J30" s="9" t="s">
        <v>129</v>
      </c>
    </row>
    <row r="31" spans="1:10" x14ac:dyDescent="0.3">
      <c r="A31" s="6" t="s">
        <v>369</v>
      </c>
      <c r="B31" s="13">
        <v>1776.12</v>
      </c>
      <c r="C31" s="13">
        <v>159847.91</v>
      </c>
      <c r="D31" s="8" t="s">
        <v>22</v>
      </c>
      <c r="E31" s="15">
        <f t="shared" si="0"/>
        <v>1.1111311996509681E-2</v>
      </c>
      <c r="F31" s="100" t="s">
        <v>67</v>
      </c>
      <c r="G31" s="15">
        <f t="shared" si="1"/>
        <v>1.1111311996509681E-2</v>
      </c>
      <c r="H31" s="9" t="s">
        <v>130</v>
      </c>
      <c r="I31" s="9" t="s">
        <v>370</v>
      </c>
      <c r="J31" s="9" t="s">
        <v>129</v>
      </c>
    </row>
    <row r="32" spans="1:10" x14ac:dyDescent="0.3">
      <c r="A32" s="6" t="s">
        <v>371</v>
      </c>
      <c r="B32" s="13">
        <v>361.46</v>
      </c>
      <c r="C32" s="13">
        <v>148878.92000000001</v>
      </c>
      <c r="D32" s="8" t="s">
        <v>22</v>
      </c>
      <c r="E32" s="15">
        <f t="shared" si="0"/>
        <v>2.4278789770909135E-3</v>
      </c>
      <c r="F32" s="100" t="s">
        <v>67</v>
      </c>
      <c r="G32" s="15">
        <f t="shared" si="1"/>
        <v>2.4278789770909135E-3</v>
      </c>
      <c r="H32" s="9" t="s">
        <v>136</v>
      </c>
      <c r="I32" s="9" t="s">
        <v>174</v>
      </c>
      <c r="J32" s="9" t="s">
        <v>129</v>
      </c>
    </row>
    <row r="33" spans="1:10" x14ac:dyDescent="0.3">
      <c r="A33" s="6" t="s">
        <v>372</v>
      </c>
      <c r="B33" s="13">
        <v>759.58</v>
      </c>
      <c r="C33" s="13">
        <v>148722.82999999999</v>
      </c>
      <c r="D33" s="8" t="s">
        <v>22</v>
      </c>
      <c r="E33" s="15">
        <f t="shared" si="0"/>
        <v>5.1073530539998474E-3</v>
      </c>
      <c r="F33" s="100" t="s">
        <v>67</v>
      </c>
      <c r="G33" s="15">
        <f t="shared" si="1"/>
        <v>5.1073530539998474E-3</v>
      </c>
      <c r="H33" s="9" t="s">
        <v>373</v>
      </c>
      <c r="I33" s="9" t="s">
        <v>374</v>
      </c>
      <c r="J33" s="9" t="s">
        <v>129</v>
      </c>
    </row>
    <row r="34" spans="1:10" x14ac:dyDescent="0.3">
      <c r="A34" s="6" t="s">
        <v>375</v>
      </c>
      <c r="B34" s="13">
        <v>235.58</v>
      </c>
      <c r="C34" s="13">
        <v>146038.94</v>
      </c>
      <c r="D34" s="8" t="s">
        <v>22</v>
      </c>
      <c r="E34" s="15">
        <f t="shared" si="0"/>
        <v>1.6131314018028343E-3</v>
      </c>
      <c r="F34" s="100" t="s">
        <v>67</v>
      </c>
      <c r="G34" s="15">
        <f t="shared" si="1"/>
        <v>1.6131314018028343E-3</v>
      </c>
      <c r="H34" s="9" t="s">
        <v>130</v>
      </c>
      <c r="I34" s="9" t="s">
        <v>376</v>
      </c>
      <c r="J34" s="9" t="s">
        <v>129</v>
      </c>
    </row>
    <row r="35" spans="1:10" x14ac:dyDescent="0.3">
      <c r="A35" s="6" t="s">
        <v>377</v>
      </c>
      <c r="B35" s="13">
        <v>1140.54</v>
      </c>
      <c r="C35" s="13">
        <v>144336.5</v>
      </c>
      <c r="D35" s="8" t="s">
        <v>22</v>
      </c>
      <c r="E35" s="15">
        <f t="shared" si="0"/>
        <v>7.9019513428689198E-3</v>
      </c>
      <c r="F35" s="100" t="s">
        <v>67</v>
      </c>
      <c r="G35" s="15">
        <f t="shared" si="1"/>
        <v>7.9019513428689198E-3</v>
      </c>
      <c r="H35" s="9" t="s">
        <v>136</v>
      </c>
      <c r="I35" s="9" t="s">
        <v>378</v>
      </c>
      <c r="J35" s="9" t="s">
        <v>129</v>
      </c>
    </row>
    <row r="36" spans="1:10" x14ac:dyDescent="0.3">
      <c r="A36" s="6" t="s">
        <v>379</v>
      </c>
      <c r="B36" s="13">
        <v>770.65</v>
      </c>
      <c r="C36" s="13">
        <v>112340.79</v>
      </c>
      <c r="D36" s="8" t="s">
        <v>22</v>
      </c>
      <c r="E36" s="15">
        <f t="shared" si="0"/>
        <v>6.8599303957182431E-3</v>
      </c>
      <c r="F36" s="100" t="s">
        <v>67</v>
      </c>
      <c r="G36" s="15">
        <f t="shared" si="1"/>
        <v>6.8599303957182431E-3</v>
      </c>
      <c r="H36" s="9" t="s">
        <v>130</v>
      </c>
      <c r="I36" s="9" t="s">
        <v>380</v>
      </c>
      <c r="J36" s="9" t="s">
        <v>129</v>
      </c>
    </row>
    <row r="37" spans="1:10" x14ac:dyDescent="0.3">
      <c r="A37" s="6" t="s">
        <v>381</v>
      </c>
      <c r="B37" s="13">
        <v>1101.92</v>
      </c>
      <c r="C37" s="13">
        <v>98750.74</v>
      </c>
      <c r="D37" s="8" t="s">
        <v>22</v>
      </c>
      <c r="E37" s="15">
        <f t="shared" si="0"/>
        <v>1.1158599925428407E-2</v>
      </c>
      <c r="F37" s="100"/>
      <c r="G37" s="15"/>
      <c r="H37" s="9" t="s">
        <v>136</v>
      </c>
      <c r="I37" s="9" t="s">
        <v>146</v>
      </c>
      <c r="J37" s="9" t="s">
        <v>129</v>
      </c>
    </row>
    <row r="38" spans="1:10" x14ac:dyDescent="0.3">
      <c r="A38" s="6" t="s">
        <v>382</v>
      </c>
      <c r="B38" s="13">
        <v>104.12</v>
      </c>
      <c r="C38" s="13">
        <v>96311.72</v>
      </c>
      <c r="D38" s="8" t="s">
        <v>22</v>
      </c>
      <c r="E38" s="15">
        <f t="shared" si="0"/>
        <v>1.0810729992154643E-3</v>
      </c>
      <c r="F38" s="100"/>
      <c r="G38" s="15"/>
      <c r="H38" s="9" t="s">
        <v>136</v>
      </c>
      <c r="I38" s="9" t="s">
        <v>383</v>
      </c>
      <c r="J38" s="9" t="s">
        <v>129</v>
      </c>
    </row>
    <row r="39" spans="1:10" x14ac:dyDescent="0.3">
      <c r="A39" s="6" t="s">
        <v>384</v>
      </c>
      <c r="B39" s="13">
        <v>65.34</v>
      </c>
      <c r="C39" s="13">
        <v>89697.94</v>
      </c>
      <c r="D39" s="8" t="s">
        <v>22</v>
      </c>
      <c r="E39" s="15">
        <f t="shared" si="0"/>
        <v>7.2844482270161394E-4</v>
      </c>
      <c r="F39" s="100"/>
      <c r="G39" s="15"/>
      <c r="H39" s="9" t="s">
        <v>132</v>
      </c>
      <c r="I39" s="9" t="s">
        <v>385</v>
      </c>
      <c r="J39" s="9" t="s">
        <v>129</v>
      </c>
    </row>
    <row r="40" spans="1:10" x14ac:dyDescent="0.3">
      <c r="A40" s="6" t="s">
        <v>386</v>
      </c>
      <c r="B40" s="13">
        <v>313.47000000000003</v>
      </c>
      <c r="C40" s="13">
        <v>82226.009999999995</v>
      </c>
      <c r="D40" s="8" t="s">
        <v>22</v>
      </c>
      <c r="E40" s="15">
        <f t="shared" si="0"/>
        <v>3.8122973497072281E-3</v>
      </c>
      <c r="F40" s="100"/>
      <c r="G40" s="15"/>
      <c r="H40" s="9" t="s">
        <v>130</v>
      </c>
      <c r="I40" s="9" t="s">
        <v>387</v>
      </c>
      <c r="J40" s="9" t="s">
        <v>129</v>
      </c>
    </row>
    <row r="41" spans="1:10" x14ac:dyDescent="0.3">
      <c r="A41" s="6" t="s">
        <v>388</v>
      </c>
      <c r="B41" s="13">
        <v>238.23</v>
      </c>
      <c r="C41" s="13">
        <v>81544.240000000005</v>
      </c>
      <c r="D41" s="8" t="s">
        <v>22</v>
      </c>
      <c r="E41" s="15">
        <f t="shared" si="0"/>
        <v>2.9214816399049152E-3</v>
      </c>
      <c r="F41" s="100"/>
      <c r="G41" s="15"/>
      <c r="H41" s="9" t="s">
        <v>136</v>
      </c>
      <c r="I41" s="9" t="s">
        <v>389</v>
      </c>
      <c r="J41" s="9" t="s">
        <v>129</v>
      </c>
    </row>
    <row r="42" spans="1:10" x14ac:dyDescent="0.3">
      <c r="A42" s="6" t="s">
        <v>390</v>
      </c>
      <c r="B42" s="13">
        <v>238.23</v>
      </c>
      <c r="C42" s="13">
        <v>75197.11</v>
      </c>
      <c r="D42" s="8" t="s">
        <v>22</v>
      </c>
      <c r="E42" s="15">
        <f t="shared" si="0"/>
        <v>3.168073879434994E-3</v>
      </c>
      <c r="F42" s="100"/>
      <c r="G42" s="15"/>
      <c r="H42" s="9" t="s">
        <v>130</v>
      </c>
      <c r="I42" s="9" t="s">
        <v>351</v>
      </c>
      <c r="J42" s="9" t="s">
        <v>129</v>
      </c>
    </row>
    <row r="43" spans="1:10" x14ac:dyDescent="0.3">
      <c r="A43" s="6" t="s">
        <v>391</v>
      </c>
      <c r="B43" s="13">
        <v>527.04999999999995</v>
      </c>
      <c r="C43" s="13">
        <v>65946.73</v>
      </c>
      <c r="D43" s="8" t="s">
        <v>22</v>
      </c>
      <c r="E43" s="15">
        <f t="shared" si="0"/>
        <v>7.9920566190317555E-3</v>
      </c>
      <c r="F43" s="100"/>
      <c r="G43" s="15"/>
      <c r="H43" s="9" t="s">
        <v>392</v>
      </c>
      <c r="I43" s="9" t="s">
        <v>393</v>
      </c>
      <c r="J43" s="9" t="s">
        <v>129</v>
      </c>
    </row>
    <row r="44" spans="1:10" x14ac:dyDescent="0.3">
      <c r="A44" s="6" t="s">
        <v>394</v>
      </c>
      <c r="B44" s="13">
        <v>573.95000000000005</v>
      </c>
      <c r="C44" s="13">
        <v>55959.519999999997</v>
      </c>
      <c r="D44" s="8" t="s">
        <v>22</v>
      </c>
      <c r="E44" s="15">
        <f t="shared" si="0"/>
        <v>1.0256521142425812E-2</v>
      </c>
      <c r="F44" s="100"/>
      <c r="G44" s="15"/>
      <c r="H44" s="9" t="s">
        <v>136</v>
      </c>
      <c r="I44" s="9" t="s">
        <v>395</v>
      </c>
      <c r="J44" s="9" t="s">
        <v>129</v>
      </c>
    </row>
    <row r="45" spans="1:10" x14ac:dyDescent="0.3">
      <c r="A45" s="6" t="s">
        <v>396</v>
      </c>
      <c r="B45" s="13">
        <v>187.98</v>
      </c>
      <c r="C45" s="13">
        <v>54936.65</v>
      </c>
      <c r="D45" s="8" t="s">
        <v>22</v>
      </c>
      <c r="E45" s="15">
        <f t="shared" si="0"/>
        <v>3.4217594265394773E-3</v>
      </c>
      <c r="F45" s="100"/>
      <c r="G45" s="15"/>
      <c r="H45" s="9" t="s">
        <v>130</v>
      </c>
      <c r="I45" s="9" t="s">
        <v>397</v>
      </c>
      <c r="J45" s="9" t="s">
        <v>129</v>
      </c>
    </row>
    <row r="46" spans="1:10" x14ac:dyDescent="0.3">
      <c r="A46" s="6" t="s">
        <v>398</v>
      </c>
      <c r="B46" s="13">
        <v>808.9</v>
      </c>
      <c r="C46" s="13">
        <v>52838.52</v>
      </c>
      <c r="D46" s="8" t="s">
        <v>22</v>
      </c>
      <c r="E46" s="15">
        <f t="shared" si="0"/>
        <v>1.5308907213903796E-2</v>
      </c>
      <c r="F46" s="100"/>
      <c r="G46" s="15"/>
      <c r="H46" s="9" t="s">
        <v>136</v>
      </c>
      <c r="I46" s="9" t="s">
        <v>174</v>
      </c>
      <c r="J46" s="9" t="s">
        <v>129</v>
      </c>
    </row>
    <row r="47" spans="1:10" x14ac:dyDescent="0.3">
      <c r="A47" s="6" t="s">
        <v>399</v>
      </c>
      <c r="B47" s="13">
        <v>348.92</v>
      </c>
      <c r="C47" s="13">
        <v>50452.65</v>
      </c>
      <c r="D47" s="8" t="s">
        <v>22</v>
      </c>
      <c r="E47" s="15">
        <f t="shared" si="0"/>
        <v>6.9157913409900176E-3</v>
      </c>
      <c r="F47" s="100"/>
      <c r="G47" s="15"/>
      <c r="H47" s="9" t="s">
        <v>136</v>
      </c>
      <c r="I47" s="9" t="s">
        <v>174</v>
      </c>
      <c r="J47" s="9" t="s">
        <v>129</v>
      </c>
    </row>
    <row r="48" spans="1:10" x14ac:dyDescent="0.3">
      <c r="A48" s="6" t="s">
        <v>400</v>
      </c>
      <c r="B48" s="13">
        <v>377.9</v>
      </c>
      <c r="C48" s="13">
        <v>49375.47</v>
      </c>
      <c r="D48" s="8" t="s">
        <v>22</v>
      </c>
      <c r="E48" s="15">
        <f t="shared" si="0"/>
        <v>7.653598031573167E-3</v>
      </c>
      <c r="F48" s="100"/>
      <c r="G48" s="15"/>
      <c r="H48" s="9" t="s">
        <v>136</v>
      </c>
      <c r="I48" s="9" t="s">
        <v>401</v>
      </c>
      <c r="J48" s="9" t="s">
        <v>129</v>
      </c>
    </row>
    <row r="49" spans="1:10" x14ac:dyDescent="0.3">
      <c r="A49" s="6" t="s">
        <v>402</v>
      </c>
      <c r="B49" s="13">
        <v>201.29</v>
      </c>
      <c r="C49" s="13">
        <v>49244.86</v>
      </c>
      <c r="D49" s="8" t="s">
        <v>22</v>
      </c>
      <c r="E49" s="15">
        <f t="shared" si="0"/>
        <v>4.087533196357955E-3</v>
      </c>
      <c r="F49" s="100"/>
      <c r="G49" s="15"/>
      <c r="H49" s="9" t="s">
        <v>136</v>
      </c>
      <c r="I49" s="9" t="s">
        <v>403</v>
      </c>
      <c r="J49" s="9" t="s">
        <v>129</v>
      </c>
    </row>
    <row r="50" spans="1:10" x14ac:dyDescent="0.3">
      <c r="A50" s="6" t="s">
        <v>404</v>
      </c>
      <c r="B50" s="13">
        <v>139.24</v>
      </c>
      <c r="C50" s="13">
        <v>47857.5</v>
      </c>
      <c r="D50" s="8" t="s">
        <v>22</v>
      </c>
      <c r="E50" s="15">
        <f t="shared" si="0"/>
        <v>2.909470824844591E-3</v>
      </c>
      <c r="F50" s="100"/>
      <c r="G50" s="15"/>
      <c r="H50" s="9" t="s">
        <v>130</v>
      </c>
      <c r="I50" s="9" t="s">
        <v>347</v>
      </c>
      <c r="J50" s="9" t="s">
        <v>129</v>
      </c>
    </row>
    <row r="51" spans="1:10" x14ac:dyDescent="0.3">
      <c r="A51" s="6" t="s">
        <v>405</v>
      </c>
      <c r="B51" s="13">
        <v>119.67</v>
      </c>
      <c r="C51" s="13">
        <v>42266.18</v>
      </c>
      <c r="D51" s="8" t="s">
        <v>22</v>
      </c>
      <c r="E51" s="15">
        <f t="shared" si="0"/>
        <v>2.8313417488876448E-3</v>
      </c>
      <c r="F51" s="100"/>
      <c r="G51" s="15"/>
      <c r="H51" s="9" t="s">
        <v>406</v>
      </c>
      <c r="I51" s="9" t="s">
        <v>407</v>
      </c>
      <c r="J51" s="9" t="s">
        <v>129</v>
      </c>
    </row>
    <row r="52" spans="1:10" x14ac:dyDescent="0.3">
      <c r="A52" s="6" t="s">
        <v>408</v>
      </c>
      <c r="B52" s="13">
        <v>129.44999999999999</v>
      </c>
      <c r="C52" s="13">
        <v>38421.81</v>
      </c>
      <c r="D52" s="8" t="s">
        <v>22</v>
      </c>
      <c r="E52" s="15">
        <f t="shared" si="0"/>
        <v>3.3691801609554571E-3</v>
      </c>
      <c r="F52" s="100"/>
      <c r="G52" s="15"/>
      <c r="H52" s="9" t="s">
        <v>136</v>
      </c>
      <c r="I52" s="9" t="s">
        <v>409</v>
      </c>
      <c r="J52" s="9" t="s">
        <v>129</v>
      </c>
    </row>
    <row r="53" spans="1:10" x14ac:dyDescent="0.3">
      <c r="A53" s="6" t="s">
        <v>410</v>
      </c>
      <c r="B53" s="13">
        <v>183.57</v>
      </c>
      <c r="C53" s="13">
        <v>37934.53</v>
      </c>
      <c r="D53" s="8" t="s">
        <v>22</v>
      </c>
      <c r="E53" s="15">
        <f t="shared" si="0"/>
        <v>4.839126779743943E-3</v>
      </c>
      <c r="F53" s="100"/>
      <c r="G53" s="15"/>
      <c r="H53" s="9" t="s">
        <v>130</v>
      </c>
      <c r="I53" s="9" t="s">
        <v>411</v>
      </c>
      <c r="J53" s="9" t="s">
        <v>129</v>
      </c>
    </row>
    <row r="54" spans="1:10" x14ac:dyDescent="0.3">
      <c r="A54" s="6" t="s">
        <v>412</v>
      </c>
      <c r="B54" s="13">
        <v>197.2</v>
      </c>
      <c r="C54" s="13">
        <v>35186.61</v>
      </c>
      <c r="D54" s="8" t="s">
        <v>22</v>
      </c>
      <c r="E54" s="15">
        <f t="shared" si="0"/>
        <v>5.6044046300567172E-3</v>
      </c>
      <c r="F54" s="100"/>
      <c r="G54" s="15"/>
      <c r="H54" s="9" t="s">
        <v>130</v>
      </c>
      <c r="I54" s="9" t="s">
        <v>413</v>
      </c>
      <c r="J54" s="9" t="s">
        <v>129</v>
      </c>
    </row>
    <row r="55" spans="1:10" x14ac:dyDescent="0.3">
      <c r="A55" s="6" t="s">
        <v>414</v>
      </c>
      <c r="B55" s="13">
        <v>204.04</v>
      </c>
      <c r="C55" s="13">
        <v>29205.96</v>
      </c>
      <c r="D55" s="8" t="s">
        <v>22</v>
      </c>
      <c r="E55" s="15">
        <f t="shared" si="0"/>
        <v>6.986245273225054E-3</v>
      </c>
      <c r="F55" s="100"/>
      <c r="G55" s="15"/>
      <c r="H55" s="9" t="s">
        <v>136</v>
      </c>
      <c r="I55" s="9" t="s">
        <v>415</v>
      </c>
      <c r="J55" s="9" t="s">
        <v>129</v>
      </c>
    </row>
    <row r="56" spans="1:10" x14ac:dyDescent="0.3">
      <c r="A56" s="6" t="s">
        <v>416</v>
      </c>
      <c r="B56" s="13">
        <v>191.04</v>
      </c>
      <c r="C56" s="13">
        <v>28548.5</v>
      </c>
      <c r="D56" s="8" t="s">
        <v>22</v>
      </c>
      <c r="E56" s="15">
        <f t="shared" si="0"/>
        <v>6.691770145541797E-3</v>
      </c>
      <c r="F56" s="100"/>
      <c r="G56" s="15"/>
      <c r="H56" s="9" t="s">
        <v>136</v>
      </c>
      <c r="I56" s="9" t="s">
        <v>417</v>
      </c>
      <c r="J56" s="9" t="s">
        <v>129</v>
      </c>
    </row>
    <row r="57" spans="1:10" x14ac:dyDescent="0.3">
      <c r="A57" s="6" t="s">
        <v>418</v>
      </c>
      <c r="B57" s="13">
        <v>46.05</v>
      </c>
      <c r="C57" s="13">
        <v>27597.84</v>
      </c>
      <c r="D57" s="8" t="s">
        <v>22</v>
      </c>
      <c r="E57" s="15">
        <f t="shared" si="0"/>
        <v>1.6686088476489463E-3</v>
      </c>
      <c r="F57" s="100"/>
      <c r="G57" s="15"/>
      <c r="H57" s="9" t="s">
        <v>406</v>
      </c>
      <c r="I57" s="9" t="s">
        <v>407</v>
      </c>
      <c r="J57" s="9" t="s">
        <v>129</v>
      </c>
    </row>
    <row r="58" spans="1:10" x14ac:dyDescent="0.3">
      <c r="A58" s="6" t="s">
        <v>419</v>
      </c>
      <c r="B58" s="13">
        <v>161.26</v>
      </c>
      <c r="C58" s="13">
        <v>27486.2</v>
      </c>
      <c r="D58" s="8" t="s">
        <v>22</v>
      </c>
      <c r="E58" s="15">
        <f t="shared" si="0"/>
        <v>5.8669441392407819E-3</v>
      </c>
      <c r="F58" s="100"/>
      <c r="G58" s="15"/>
      <c r="H58" s="9" t="s">
        <v>136</v>
      </c>
      <c r="I58" s="9" t="s">
        <v>417</v>
      </c>
      <c r="J58" s="9" t="s">
        <v>129</v>
      </c>
    </row>
    <row r="59" spans="1:10" x14ac:dyDescent="0.3">
      <c r="A59" s="6" t="s">
        <v>420</v>
      </c>
      <c r="B59" s="13">
        <v>28.96</v>
      </c>
      <c r="C59" s="13">
        <v>27441.11</v>
      </c>
      <c r="D59" s="8" t="s">
        <v>22</v>
      </c>
      <c r="E59" s="15">
        <f t="shared" si="0"/>
        <v>1.0553508950621896E-3</v>
      </c>
      <c r="F59" s="100"/>
      <c r="G59" s="15"/>
      <c r="H59" s="9" t="s">
        <v>406</v>
      </c>
      <c r="I59" s="9" t="s">
        <v>421</v>
      </c>
      <c r="J59" s="9" t="s">
        <v>129</v>
      </c>
    </row>
    <row r="60" spans="1:10" x14ac:dyDescent="0.3">
      <c r="A60" s="6" t="s">
        <v>422</v>
      </c>
      <c r="B60" s="13">
        <v>63.69</v>
      </c>
      <c r="C60" s="13">
        <v>24864.19</v>
      </c>
      <c r="D60" s="8" t="s">
        <v>22</v>
      </c>
      <c r="E60" s="15">
        <f t="shared" si="0"/>
        <v>2.5615151750368703E-3</v>
      </c>
      <c r="F60" s="100"/>
      <c r="G60" s="15"/>
      <c r="H60" s="9" t="s">
        <v>130</v>
      </c>
      <c r="I60" s="9" t="s">
        <v>423</v>
      </c>
      <c r="J60" s="9" t="s">
        <v>129</v>
      </c>
    </row>
    <row r="61" spans="1:10" x14ac:dyDescent="0.3">
      <c r="A61" s="6" t="s">
        <v>424</v>
      </c>
      <c r="B61" s="13">
        <v>61.73</v>
      </c>
      <c r="C61" s="13">
        <v>24549.23</v>
      </c>
      <c r="D61" s="8" t="s">
        <v>22</v>
      </c>
      <c r="E61" s="15">
        <f t="shared" si="0"/>
        <v>2.5145391525518315E-3</v>
      </c>
      <c r="F61" s="100"/>
      <c r="G61" s="15"/>
      <c r="H61" s="9" t="s">
        <v>130</v>
      </c>
      <c r="I61" s="9" t="s">
        <v>425</v>
      </c>
      <c r="J61" s="9" t="s">
        <v>129</v>
      </c>
    </row>
    <row r="62" spans="1:10" x14ac:dyDescent="0.3">
      <c r="A62" s="6" t="s">
        <v>426</v>
      </c>
      <c r="B62" s="13">
        <v>25.46</v>
      </c>
      <c r="C62" s="13">
        <v>22054.5</v>
      </c>
      <c r="D62" s="8" t="s">
        <v>22</v>
      </c>
      <c r="E62" s="15">
        <f t="shared" si="0"/>
        <v>1.1544129316012606E-3</v>
      </c>
      <c r="F62" s="100"/>
      <c r="G62" s="15"/>
      <c r="H62" s="9" t="s">
        <v>130</v>
      </c>
      <c r="I62" s="9" t="s">
        <v>351</v>
      </c>
      <c r="J62" s="9" t="s">
        <v>129</v>
      </c>
    </row>
    <row r="63" spans="1:10" x14ac:dyDescent="0.3">
      <c r="A63" s="6" t="s">
        <v>427</v>
      </c>
      <c r="B63" s="13">
        <v>169.96</v>
      </c>
      <c r="C63" s="13">
        <v>21752.48</v>
      </c>
      <c r="D63" s="8" t="s">
        <v>22</v>
      </c>
      <c r="E63" s="15">
        <f t="shared" si="0"/>
        <v>7.8133619706810455E-3</v>
      </c>
      <c r="F63" s="100"/>
      <c r="G63" s="15"/>
      <c r="H63" s="9" t="s">
        <v>136</v>
      </c>
      <c r="I63" s="9" t="s">
        <v>428</v>
      </c>
      <c r="J63" s="9" t="s">
        <v>129</v>
      </c>
    </row>
    <row r="64" spans="1:10" x14ac:dyDescent="0.3">
      <c r="A64" s="6" t="s">
        <v>429</v>
      </c>
      <c r="B64" s="13">
        <v>103.47</v>
      </c>
      <c r="C64" s="13">
        <v>20964.439999999999</v>
      </c>
      <c r="D64" s="8" t="s">
        <v>22</v>
      </c>
      <c r="E64" s="15">
        <f t="shared" si="0"/>
        <v>4.9355003043248472E-3</v>
      </c>
      <c r="F64" s="100"/>
      <c r="G64" s="15"/>
      <c r="H64" s="9" t="s">
        <v>392</v>
      </c>
      <c r="I64" s="9" t="s">
        <v>430</v>
      </c>
      <c r="J64" s="9" t="s">
        <v>129</v>
      </c>
    </row>
    <row r="65" spans="1:10" x14ac:dyDescent="0.3">
      <c r="A65" s="6" t="s">
        <v>431</v>
      </c>
      <c r="B65" s="13">
        <v>177.1</v>
      </c>
      <c r="C65" s="13">
        <v>20016.45</v>
      </c>
      <c r="D65" s="8" t="s">
        <v>22</v>
      </c>
      <c r="E65" s="15">
        <f t="shared" si="0"/>
        <v>8.8477227480397366E-3</v>
      </c>
      <c r="F65" s="100"/>
      <c r="G65" s="15"/>
      <c r="H65" s="9" t="s">
        <v>136</v>
      </c>
      <c r="I65" s="9" t="s">
        <v>417</v>
      </c>
      <c r="J65" s="9" t="s">
        <v>129</v>
      </c>
    </row>
    <row r="66" spans="1:10" x14ac:dyDescent="0.3">
      <c r="A66" s="6" t="s">
        <v>432</v>
      </c>
      <c r="B66" s="13">
        <v>90.6</v>
      </c>
      <c r="C66" s="13">
        <v>19180.89</v>
      </c>
      <c r="D66" s="8" t="s">
        <v>22</v>
      </c>
      <c r="E66" s="15">
        <f t="shared" si="0"/>
        <v>4.7234513101321153E-3</v>
      </c>
      <c r="F66" s="100"/>
      <c r="G66" s="15"/>
      <c r="H66" s="9" t="s">
        <v>392</v>
      </c>
      <c r="I66" s="9" t="s">
        <v>433</v>
      </c>
      <c r="J66" s="9" t="s">
        <v>134</v>
      </c>
    </row>
    <row r="67" spans="1:10" x14ac:dyDescent="0.3">
      <c r="A67" s="6" t="s">
        <v>434</v>
      </c>
      <c r="B67" s="13">
        <v>53.17</v>
      </c>
      <c r="C67" s="13">
        <v>18448.830000000002</v>
      </c>
      <c r="D67" s="8" t="s">
        <v>22</v>
      </c>
      <c r="E67" s="15">
        <f t="shared" si="0"/>
        <v>2.8820255810260054E-3</v>
      </c>
      <c r="F67" s="100"/>
      <c r="G67" s="15"/>
      <c r="H67" s="9" t="s">
        <v>130</v>
      </c>
      <c r="I67" s="9" t="s">
        <v>435</v>
      </c>
      <c r="J67" s="9" t="s">
        <v>129</v>
      </c>
    </row>
    <row r="68" spans="1:10" x14ac:dyDescent="0.3">
      <c r="A68" s="6" t="s">
        <v>436</v>
      </c>
      <c r="B68" s="13">
        <v>188.78</v>
      </c>
      <c r="C68" s="13">
        <v>17435.91</v>
      </c>
      <c r="D68" s="8" t="s">
        <v>22</v>
      </c>
      <c r="E68" s="15">
        <f t="shared" si="0"/>
        <v>1.0827080433427335E-2</v>
      </c>
      <c r="F68" s="100"/>
      <c r="G68" s="15"/>
      <c r="H68" s="9" t="s">
        <v>136</v>
      </c>
      <c r="I68" s="9" t="s">
        <v>417</v>
      </c>
      <c r="J68" s="9" t="s">
        <v>129</v>
      </c>
    </row>
    <row r="69" spans="1:10" x14ac:dyDescent="0.3">
      <c r="A69" s="6" t="s">
        <v>437</v>
      </c>
      <c r="B69" s="13">
        <v>157.59</v>
      </c>
      <c r="C69" s="13">
        <v>17154.810000000001</v>
      </c>
      <c r="D69" s="8" t="s">
        <v>22</v>
      </c>
      <c r="E69" s="15">
        <f t="shared" si="0"/>
        <v>9.1863448210735069E-3</v>
      </c>
      <c r="F69" s="100"/>
      <c r="G69" s="15"/>
      <c r="H69" s="9" t="s">
        <v>136</v>
      </c>
      <c r="I69" s="9" t="s">
        <v>438</v>
      </c>
      <c r="J69" s="9" t="s">
        <v>129</v>
      </c>
    </row>
    <row r="70" spans="1:10" x14ac:dyDescent="0.3">
      <c r="A70" s="6" t="s">
        <v>439</v>
      </c>
      <c r="B70" s="13">
        <v>59.67</v>
      </c>
      <c r="C70" s="13">
        <v>15272.79</v>
      </c>
      <c r="D70" s="8" t="s">
        <v>22</v>
      </c>
      <c r="E70" s="15">
        <f t="shared" ref="E70:E113" si="2">B70/C70</f>
        <v>3.9069482393197311E-3</v>
      </c>
      <c r="F70" s="100"/>
      <c r="G70" s="15"/>
      <c r="H70" s="9" t="s">
        <v>136</v>
      </c>
      <c r="I70" s="9" t="s">
        <v>417</v>
      </c>
      <c r="J70" s="9" t="s">
        <v>129</v>
      </c>
    </row>
    <row r="71" spans="1:10" x14ac:dyDescent="0.3">
      <c r="A71" s="6" t="s">
        <v>440</v>
      </c>
      <c r="B71" s="13">
        <v>81.67</v>
      </c>
      <c r="C71" s="13">
        <v>13816.58</v>
      </c>
      <c r="D71" s="8" t="s">
        <v>22</v>
      </c>
      <c r="E71" s="15">
        <f t="shared" si="2"/>
        <v>5.9110141583517779E-3</v>
      </c>
      <c r="F71" s="100"/>
      <c r="G71" s="15"/>
      <c r="H71" s="9" t="s">
        <v>130</v>
      </c>
      <c r="I71" s="9" t="s">
        <v>441</v>
      </c>
      <c r="J71" s="9" t="s">
        <v>129</v>
      </c>
    </row>
    <row r="72" spans="1:10" x14ac:dyDescent="0.3">
      <c r="A72" s="6" t="s">
        <v>442</v>
      </c>
      <c r="B72" s="13">
        <v>25.53</v>
      </c>
      <c r="C72" s="13">
        <v>12820.18</v>
      </c>
      <c r="D72" s="8" t="s">
        <v>22</v>
      </c>
      <c r="E72" s="15">
        <f t="shared" si="2"/>
        <v>1.991391696528442E-3</v>
      </c>
      <c r="F72" s="100"/>
      <c r="G72" s="15"/>
      <c r="H72" s="9" t="s">
        <v>130</v>
      </c>
      <c r="I72" s="9" t="s">
        <v>443</v>
      </c>
      <c r="J72" s="9" t="s">
        <v>129</v>
      </c>
    </row>
    <row r="73" spans="1:10" x14ac:dyDescent="0.3">
      <c r="A73" s="6" t="s">
        <v>444</v>
      </c>
      <c r="B73" s="13">
        <v>31.57</v>
      </c>
      <c r="C73" s="13">
        <v>12819.77</v>
      </c>
      <c r="D73" s="8" t="s">
        <v>22</v>
      </c>
      <c r="E73" s="15">
        <f t="shared" si="2"/>
        <v>2.4626026831994644E-3</v>
      </c>
      <c r="F73" s="100"/>
      <c r="G73" s="15"/>
      <c r="H73" s="9" t="s">
        <v>406</v>
      </c>
      <c r="I73" s="9" t="s">
        <v>150</v>
      </c>
      <c r="J73" s="9" t="s">
        <v>129</v>
      </c>
    </row>
    <row r="74" spans="1:10" x14ac:dyDescent="0.3">
      <c r="A74" s="6" t="s">
        <v>445</v>
      </c>
      <c r="B74" s="13">
        <v>160.16</v>
      </c>
      <c r="C74" s="13">
        <v>12632.25</v>
      </c>
      <c r="D74" s="8" t="s">
        <v>22</v>
      </c>
      <c r="E74" s="15">
        <f t="shared" si="2"/>
        <v>1.2678659779532546E-2</v>
      </c>
      <c r="F74" s="100"/>
      <c r="G74" s="15"/>
      <c r="H74" s="9" t="s">
        <v>446</v>
      </c>
      <c r="I74" s="9" t="s">
        <v>447</v>
      </c>
      <c r="J74" s="9" t="s">
        <v>129</v>
      </c>
    </row>
    <row r="75" spans="1:10" x14ac:dyDescent="0.3">
      <c r="A75" s="6" t="s">
        <v>448</v>
      </c>
      <c r="B75" s="13">
        <v>27.51</v>
      </c>
      <c r="C75" s="13">
        <v>11436.26</v>
      </c>
      <c r="D75" s="8" t="s">
        <v>22</v>
      </c>
      <c r="E75" s="15">
        <f t="shared" si="2"/>
        <v>2.4055066953706894E-3</v>
      </c>
      <c r="F75" s="100"/>
      <c r="G75" s="15"/>
      <c r="H75" s="9" t="s">
        <v>130</v>
      </c>
      <c r="I75" s="9" t="s">
        <v>449</v>
      </c>
      <c r="J75" s="9" t="s">
        <v>129</v>
      </c>
    </row>
    <row r="76" spans="1:10" x14ac:dyDescent="0.3">
      <c r="A76" s="6" t="s">
        <v>450</v>
      </c>
      <c r="B76" s="13">
        <v>154.29</v>
      </c>
      <c r="C76" s="13">
        <v>11349.37</v>
      </c>
      <c r="D76" s="8" t="s">
        <v>22</v>
      </c>
      <c r="E76" s="15">
        <f t="shared" si="2"/>
        <v>1.3594587188539979E-2</v>
      </c>
      <c r="F76" s="100"/>
      <c r="G76" s="15"/>
      <c r="H76" s="9" t="s">
        <v>136</v>
      </c>
      <c r="I76" s="9" t="s">
        <v>162</v>
      </c>
      <c r="J76" s="9" t="s">
        <v>129</v>
      </c>
    </row>
    <row r="77" spans="1:10" x14ac:dyDescent="0.3">
      <c r="A77" s="6" t="s">
        <v>451</v>
      </c>
      <c r="B77" s="13">
        <v>57.63</v>
      </c>
      <c r="C77" s="13">
        <v>10973.19</v>
      </c>
      <c r="D77" s="8" t="s">
        <v>22</v>
      </c>
      <c r="E77" s="15">
        <f t="shared" si="2"/>
        <v>5.2518912002799548E-3</v>
      </c>
      <c r="F77" s="100"/>
      <c r="G77" s="15"/>
      <c r="H77" s="9" t="s">
        <v>130</v>
      </c>
      <c r="I77" s="9" t="s">
        <v>452</v>
      </c>
      <c r="J77" s="9" t="s">
        <v>129</v>
      </c>
    </row>
    <row r="78" spans="1:10" x14ac:dyDescent="0.3">
      <c r="A78" s="6" t="s">
        <v>453</v>
      </c>
      <c r="B78" s="13">
        <v>31.06</v>
      </c>
      <c r="C78" s="13">
        <v>10110.5</v>
      </c>
      <c r="D78" s="8" t="s">
        <v>22</v>
      </c>
      <c r="E78" s="15">
        <f t="shared" si="2"/>
        <v>3.0720538054497797E-3</v>
      </c>
      <c r="F78" s="100"/>
      <c r="G78" s="15"/>
      <c r="H78" s="9" t="s">
        <v>136</v>
      </c>
      <c r="I78" s="9" t="s">
        <v>454</v>
      </c>
      <c r="J78" s="9" t="s">
        <v>129</v>
      </c>
    </row>
    <row r="79" spans="1:10" x14ac:dyDescent="0.3">
      <c r="A79" s="6" t="s">
        <v>455</v>
      </c>
      <c r="B79" s="13">
        <v>68.56</v>
      </c>
      <c r="C79" s="13">
        <v>9504.39</v>
      </c>
      <c r="D79" s="8" t="s">
        <v>22</v>
      </c>
      <c r="E79" s="15">
        <f t="shared" si="2"/>
        <v>7.2135087049247778E-3</v>
      </c>
      <c r="F79" s="100"/>
      <c r="G79" s="15"/>
      <c r="H79" s="9" t="s">
        <v>130</v>
      </c>
      <c r="I79" s="9" t="s">
        <v>456</v>
      </c>
      <c r="J79" s="9" t="s">
        <v>129</v>
      </c>
    </row>
    <row r="80" spans="1:10" x14ac:dyDescent="0.3">
      <c r="A80" s="6" t="s">
        <v>457</v>
      </c>
      <c r="B80" s="13">
        <v>167.37</v>
      </c>
      <c r="C80" s="13">
        <v>9254.73</v>
      </c>
      <c r="D80" s="8" t="s">
        <v>22</v>
      </c>
      <c r="E80" s="15">
        <f t="shared" si="2"/>
        <v>1.8084806363880958E-2</v>
      </c>
      <c r="F80" s="100"/>
      <c r="G80" s="15"/>
      <c r="H80" s="9" t="s">
        <v>136</v>
      </c>
      <c r="I80" s="9" t="s">
        <v>458</v>
      </c>
      <c r="J80" s="9" t="s">
        <v>129</v>
      </c>
    </row>
    <row r="81" spans="1:10" x14ac:dyDescent="0.3">
      <c r="A81" s="6" t="s">
        <v>459</v>
      </c>
      <c r="B81" s="13">
        <v>117.31</v>
      </c>
      <c r="C81" s="13">
        <v>9119.2000000000007</v>
      </c>
      <c r="D81" s="8" t="s">
        <v>22</v>
      </c>
      <c r="E81" s="15">
        <f t="shared" si="2"/>
        <v>1.2864067023423107E-2</v>
      </c>
      <c r="F81" s="100"/>
      <c r="G81" s="15"/>
      <c r="H81" s="9" t="s">
        <v>136</v>
      </c>
      <c r="I81" s="9" t="s">
        <v>460</v>
      </c>
      <c r="J81" s="9" t="s">
        <v>129</v>
      </c>
    </row>
    <row r="82" spans="1:10" x14ac:dyDescent="0.3">
      <c r="A82" s="6" t="s">
        <v>461</v>
      </c>
      <c r="B82" s="13">
        <v>70.64</v>
      </c>
      <c r="C82" s="13">
        <v>7057.08</v>
      </c>
      <c r="D82" s="8" t="s">
        <v>22</v>
      </c>
      <c r="E82" s="15">
        <f t="shared" si="2"/>
        <v>1.0009805755354905E-2</v>
      </c>
      <c r="F82" s="100"/>
      <c r="G82" s="15"/>
      <c r="H82" s="9" t="s">
        <v>136</v>
      </c>
      <c r="I82" s="9" t="s">
        <v>462</v>
      </c>
      <c r="J82" s="9" t="s">
        <v>129</v>
      </c>
    </row>
    <row r="83" spans="1:10" x14ac:dyDescent="0.3">
      <c r="A83" s="6" t="s">
        <v>463</v>
      </c>
      <c r="B83" s="13">
        <v>80.17</v>
      </c>
      <c r="C83" s="13">
        <v>6858.07</v>
      </c>
      <c r="D83" s="8" t="s">
        <v>22</v>
      </c>
      <c r="E83" s="15">
        <f t="shared" si="2"/>
        <v>1.1689877764443933E-2</v>
      </c>
      <c r="F83" s="100"/>
      <c r="G83" s="15"/>
      <c r="H83" s="9" t="s">
        <v>136</v>
      </c>
      <c r="I83" s="9" t="s">
        <v>401</v>
      </c>
      <c r="J83" s="9" t="s">
        <v>129</v>
      </c>
    </row>
    <row r="84" spans="1:10" x14ac:dyDescent="0.3">
      <c r="A84" s="6" t="s">
        <v>464</v>
      </c>
      <c r="B84" s="13">
        <v>26.9</v>
      </c>
      <c r="C84" s="13">
        <v>6811.3</v>
      </c>
      <c r="D84" s="8" t="s">
        <v>22</v>
      </c>
      <c r="E84" s="15">
        <f t="shared" si="2"/>
        <v>3.949319513161951E-3</v>
      </c>
      <c r="F84" s="100"/>
      <c r="G84" s="15"/>
      <c r="H84" s="9" t="s">
        <v>136</v>
      </c>
      <c r="I84" s="9" t="s">
        <v>465</v>
      </c>
      <c r="J84" s="9" t="s">
        <v>129</v>
      </c>
    </row>
    <row r="85" spans="1:10" x14ac:dyDescent="0.3">
      <c r="A85" s="6" t="s">
        <v>466</v>
      </c>
      <c r="B85" s="13">
        <v>109.71</v>
      </c>
      <c r="C85" s="13">
        <v>6632.32</v>
      </c>
      <c r="D85" s="8" t="s">
        <v>22</v>
      </c>
      <c r="E85" s="15">
        <f t="shared" si="2"/>
        <v>1.6541722956672777E-2</v>
      </c>
      <c r="F85" s="100"/>
      <c r="G85" s="15"/>
      <c r="H85" s="9" t="s">
        <v>130</v>
      </c>
      <c r="I85" s="9" t="s">
        <v>467</v>
      </c>
      <c r="J85" s="9" t="s">
        <v>129</v>
      </c>
    </row>
    <row r="86" spans="1:10" x14ac:dyDescent="0.3">
      <c r="A86" s="6" t="s">
        <v>468</v>
      </c>
      <c r="B86" s="13">
        <v>27.01</v>
      </c>
      <c r="C86" s="13">
        <v>6073.34</v>
      </c>
      <c r="D86" s="8" t="s">
        <v>22</v>
      </c>
      <c r="E86" s="15">
        <f t="shared" si="2"/>
        <v>4.4473057658553613E-3</v>
      </c>
      <c r="F86" s="100"/>
      <c r="G86" s="15"/>
      <c r="H86" s="9" t="s">
        <v>136</v>
      </c>
      <c r="I86" s="9" t="s">
        <v>469</v>
      </c>
      <c r="J86" s="9" t="s">
        <v>129</v>
      </c>
    </row>
    <row r="87" spans="1:10" x14ac:dyDescent="0.3">
      <c r="A87" s="6" t="s">
        <v>470</v>
      </c>
      <c r="B87" s="13">
        <v>49.69</v>
      </c>
      <c r="C87" s="13">
        <v>5987.03</v>
      </c>
      <c r="D87" s="8" t="s">
        <v>22</v>
      </c>
      <c r="E87" s="15">
        <f t="shared" si="2"/>
        <v>8.299607651874135E-3</v>
      </c>
      <c r="F87" s="100"/>
      <c r="G87" s="15"/>
      <c r="H87" s="9" t="s">
        <v>136</v>
      </c>
      <c r="I87" s="9" t="s">
        <v>471</v>
      </c>
      <c r="J87" s="9" t="s">
        <v>129</v>
      </c>
    </row>
    <row r="88" spans="1:10" x14ac:dyDescent="0.3">
      <c r="A88" s="6" t="s">
        <v>472</v>
      </c>
      <c r="B88" s="13">
        <v>35.049999999999997</v>
      </c>
      <c r="C88" s="13">
        <v>5743.38</v>
      </c>
      <c r="D88" s="8" t="s">
        <v>22</v>
      </c>
      <c r="E88" s="15">
        <f t="shared" si="2"/>
        <v>6.1026782138740594E-3</v>
      </c>
      <c r="F88" s="100"/>
      <c r="G88" s="15"/>
      <c r="H88" s="9" t="s">
        <v>136</v>
      </c>
      <c r="I88" s="9" t="s">
        <v>401</v>
      </c>
      <c r="J88" s="9" t="s">
        <v>129</v>
      </c>
    </row>
    <row r="89" spans="1:10" x14ac:dyDescent="0.3">
      <c r="A89" s="6" t="s">
        <v>473</v>
      </c>
      <c r="B89" s="13">
        <v>106.88</v>
      </c>
      <c r="C89" s="13">
        <v>5363.53</v>
      </c>
      <c r="D89" s="8" t="s">
        <v>22</v>
      </c>
      <c r="E89" s="15">
        <f t="shared" si="2"/>
        <v>1.9927174827026231E-2</v>
      </c>
      <c r="F89" s="100"/>
      <c r="G89" s="15"/>
      <c r="H89" s="9" t="s">
        <v>130</v>
      </c>
      <c r="I89" s="9" t="s">
        <v>474</v>
      </c>
      <c r="J89" s="9" t="s">
        <v>129</v>
      </c>
    </row>
    <row r="90" spans="1:10" x14ac:dyDescent="0.3">
      <c r="A90" s="6" t="s">
        <v>475</v>
      </c>
      <c r="B90" s="13">
        <v>656.39</v>
      </c>
      <c r="C90" s="13">
        <v>316176.62</v>
      </c>
      <c r="D90" s="8" t="s">
        <v>22</v>
      </c>
      <c r="E90" s="15">
        <f t="shared" si="2"/>
        <v>2.0760232050048484E-3</v>
      </c>
      <c r="F90" s="100"/>
      <c r="G90" s="15"/>
      <c r="H90" s="9" t="s">
        <v>476</v>
      </c>
      <c r="I90" s="9" t="s">
        <v>157</v>
      </c>
      <c r="J90" s="9" t="s">
        <v>129</v>
      </c>
    </row>
    <row r="91" spans="1:10" x14ac:dyDescent="0.3">
      <c r="A91" s="6" t="s">
        <v>477</v>
      </c>
      <c r="B91" s="13">
        <v>1018</v>
      </c>
      <c r="C91" s="13">
        <v>283210.74</v>
      </c>
      <c r="D91" s="8" t="s">
        <v>22</v>
      </c>
      <c r="E91" s="15">
        <f t="shared" si="2"/>
        <v>3.5944964516529281E-3</v>
      </c>
      <c r="F91" s="100"/>
      <c r="G91" s="15"/>
      <c r="H91" s="9" t="s">
        <v>476</v>
      </c>
      <c r="I91" s="9" t="s">
        <v>478</v>
      </c>
      <c r="J91" s="9" t="s">
        <v>129</v>
      </c>
    </row>
    <row r="92" spans="1:10" x14ac:dyDescent="0.3">
      <c r="A92" s="6" t="s">
        <v>479</v>
      </c>
      <c r="B92" s="13">
        <v>1521.4</v>
      </c>
      <c r="C92" s="13">
        <v>201369.3</v>
      </c>
      <c r="D92" s="8" t="s">
        <v>22</v>
      </c>
      <c r="E92" s="15">
        <f t="shared" si="2"/>
        <v>7.5552728246063338E-3</v>
      </c>
      <c r="F92" s="100"/>
      <c r="G92" s="15"/>
      <c r="H92" s="9" t="s">
        <v>476</v>
      </c>
      <c r="I92" s="9" t="s">
        <v>480</v>
      </c>
      <c r="J92" s="9" t="s">
        <v>129</v>
      </c>
    </row>
    <row r="93" spans="1:10" x14ac:dyDescent="0.3">
      <c r="A93" s="6" t="s">
        <v>481</v>
      </c>
      <c r="B93" s="13">
        <v>117.68</v>
      </c>
      <c r="C93" s="13">
        <v>131927.35</v>
      </c>
      <c r="D93" s="8" t="s">
        <v>22</v>
      </c>
      <c r="E93" s="15">
        <f t="shared" si="2"/>
        <v>8.9200609274725821E-4</v>
      </c>
      <c r="F93" s="100"/>
      <c r="G93" s="15"/>
      <c r="H93" s="9" t="s">
        <v>476</v>
      </c>
      <c r="I93" s="9" t="s">
        <v>482</v>
      </c>
      <c r="J93" s="9" t="s">
        <v>134</v>
      </c>
    </row>
    <row r="94" spans="1:10" x14ac:dyDescent="0.3">
      <c r="A94" s="6" t="s">
        <v>483</v>
      </c>
      <c r="B94" s="13">
        <v>720.46</v>
      </c>
      <c r="C94" s="13">
        <v>90059.55</v>
      </c>
      <c r="D94" s="8" t="s">
        <v>22</v>
      </c>
      <c r="E94" s="15">
        <f t="shared" si="2"/>
        <v>7.9998178982684243E-3</v>
      </c>
      <c r="F94" s="100"/>
      <c r="G94" s="15"/>
      <c r="H94" s="9" t="s">
        <v>476</v>
      </c>
      <c r="I94" s="9" t="s">
        <v>484</v>
      </c>
      <c r="J94" s="9" t="s">
        <v>129</v>
      </c>
    </row>
    <row r="95" spans="1:10" x14ac:dyDescent="0.3">
      <c r="A95" s="6" t="s">
        <v>485</v>
      </c>
      <c r="B95" s="13">
        <v>585.15</v>
      </c>
      <c r="C95" s="13">
        <v>77329.42</v>
      </c>
      <c r="D95" s="8" t="s">
        <v>22</v>
      </c>
      <c r="E95" s="15">
        <f t="shared" si="2"/>
        <v>7.566977742753017E-3</v>
      </c>
      <c r="F95" s="100"/>
      <c r="G95" s="15"/>
      <c r="H95" s="9" t="s">
        <v>476</v>
      </c>
      <c r="I95" s="9" t="s">
        <v>486</v>
      </c>
      <c r="J95" s="9" t="s">
        <v>129</v>
      </c>
    </row>
    <row r="96" spans="1:10" x14ac:dyDescent="0.3">
      <c r="A96" s="6" t="s">
        <v>487</v>
      </c>
      <c r="B96" s="13">
        <v>230.73</v>
      </c>
      <c r="C96" s="13">
        <v>72507.27</v>
      </c>
      <c r="D96" s="8" t="s">
        <v>22</v>
      </c>
      <c r="E96" s="15">
        <f t="shared" si="2"/>
        <v>3.1821636644159953E-3</v>
      </c>
      <c r="F96" s="100"/>
      <c r="G96" s="15"/>
      <c r="H96" s="9" t="s">
        <v>476</v>
      </c>
      <c r="I96" s="9" t="s">
        <v>488</v>
      </c>
      <c r="J96" s="9" t="s">
        <v>129</v>
      </c>
    </row>
    <row r="97" spans="1:10" x14ac:dyDescent="0.3">
      <c r="A97" s="6" t="s">
        <v>489</v>
      </c>
      <c r="B97" s="13">
        <v>315.58999999999997</v>
      </c>
      <c r="C97" s="13">
        <v>71234.3</v>
      </c>
      <c r="D97" s="8" t="s">
        <v>22</v>
      </c>
      <c r="E97" s="15">
        <f t="shared" si="2"/>
        <v>4.4303095559302189E-3</v>
      </c>
      <c r="F97" s="100"/>
      <c r="G97" s="15"/>
      <c r="H97" s="9" t="s">
        <v>476</v>
      </c>
      <c r="I97" s="9" t="s">
        <v>490</v>
      </c>
      <c r="J97" s="9" t="s">
        <v>129</v>
      </c>
    </row>
    <row r="98" spans="1:10" x14ac:dyDescent="0.3">
      <c r="A98" s="6" t="s">
        <v>491</v>
      </c>
      <c r="B98" s="13">
        <v>224.15</v>
      </c>
      <c r="C98" s="13">
        <v>51318.87</v>
      </c>
      <c r="D98" s="8" t="s">
        <v>22</v>
      </c>
      <c r="E98" s="15">
        <f t="shared" si="2"/>
        <v>4.3677890803129529E-3</v>
      </c>
      <c r="F98" s="100"/>
      <c r="G98" s="15"/>
      <c r="H98" s="9" t="s">
        <v>476</v>
      </c>
      <c r="I98" s="9" t="s">
        <v>141</v>
      </c>
      <c r="J98" s="9" t="s">
        <v>129</v>
      </c>
    </row>
    <row r="99" spans="1:10" x14ac:dyDescent="0.3">
      <c r="A99" s="6" t="s">
        <v>492</v>
      </c>
      <c r="B99" s="13">
        <v>231.5</v>
      </c>
      <c r="C99" s="13">
        <v>40306.86</v>
      </c>
      <c r="D99" s="8" t="s">
        <v>22</v>
      </c>
      <c r="E99" s="15">
        <f t="shared" si="2"/>
        <v>5.7434392061301723E-3</v>
      </c>
      <c r="F99" s="100"/>
      <c r="G99" s="15"/>
      <c r="H99" s="9" t="s">
        <v>476</v>
      </c>
      <c r="I99" s="9" t="s">
        <v>493</v>
      </c>
      <c r="J99" s="9" t="s">
        <v>129</v>
      </c>
    </row>
    <row r="100" spans="1:10" x14ac:dyDescent="0.3">
      <c r="A100" s="6" t="s">
        <v>494</v>
      </c>
      <c r="B100" s="13">
        <v>15.53</v>
      </c>
      <c r="C100" s="13">
        <v>32619.62</v>
      </c>
      <c r="D100" s="8" t="s">
        <v>22</v>
      </c>
      <c r="E100" s="15">
        <f t="shared" si="2"/>
        <v>4.7609383555050609E-4</v>
      </c>
      <c r="F100" s="100"/>
      <c r="G100" s="15"/>
      <c r="H100" s="9" t="s">
        <v>476</v>
      </c>
      <c r="I100" s="9" t="s">
        <v>495</v>
      </c>
      <c r="J100" s="9" t="s">
        <v>129</v>
      </c>
    </row>
    <row r="101" spans="1:10" x14ac:dyDescent="0.3">
      <c r="A101" s="6" t="s">
        <v>496</v>
      </c>
      <c r="B101" s="13">
        <v>40.659999999999997</v>
      </c>
      <c r="C101" s="13">
        <v>24423.95</v>
      </c>
      <c r="D101" s="8" t="s">
        <v>22</v>
      </c>
      <c r="E101" s="15">
        <f t="shared" si="2"/>
        <v>1.6647593857668393E-3</v>
      </c>
      <c r="F101" s="100"/>
      <c r="G101" s="15"/>
      <c r="H101" s="9" t="s">
        <v>476</v>
      </c>
      <c r="I101" s="9" t="s">
        <v>497</v>
      </c>
      <c r="J101" s="9" t="s">
        <v>129</v>
      </c>
    </row>
    <row r="102" spans="1:10" x14ac:dyDescent="0.3">
      <c r="A102" s="6" t="s">
        <v>498</v>
      </c>
      <c r="B102" s="13">
        <v>139.65</v>
      </c>
      <c r="C102" s="13">
        <v>15871.7</v>
      </c>
      <c r="D102" s="8" t="s">
        <v>22</v>
      </c>
      <c r="E102" s="15">
        <f t="shared" si="2"/>
        <v>8.7986794105231331E-3</v>
      </c>
      <c r="F102" s="100"/>
      <c r="G102" s="15"/>
      <c r="H102" s="9" t="s">
        <v>476</v>
      </c>
      <c r="I102" s="9" t="s">
        <v>499</v>
      </c>
      <c r="J102" s="9" t="s">
        <v>129</v>
      </c>
    </row>
    <row r="103" spans="1:10" x14ac:dyDescent="0.3">
      <c r="A103" s="6" t="s">
        <v>500</v>
      </c>
      <c r="B103" s="13">
        <v>12.58</v>
      </c>
      <c r="C103" s="13">
        <v>14615.16</v>
      </c>
      <c r="D103" s="8" t="s">
        <v>22</v>
      </c>
      <c r="E103" s="15">
        <f t="shared" si="2"/>
        <v>8.6075007047476727E-4</v>
      </c>
      <c r="F103" s="100"/>
      <c r="G103" s="15"/>
      <c r="H103" s="9" t="s">
        <v>476</v>
      </c>
      <c r="I103" s="9" t="s">
        <v>501</v>
      </c>
      <c r="J103" s="9" t="s">
        <v>129</v>
      </c>
    </row>
    <row r="104" spans="1:10" x14ac:dyDescent="0.3">
      <c r="A104" s="6" t="s">
        <v>502</v>
      </c>
      <c r="B104" s="13">
        <v>67.709999999999994</v>
      </c>
      <c r="C104" s="13">
        <v>13741.99</v>
      </c>
      <c r="D104" s="8" t="s">
        <v>22</v>
      </c>
      <c r="E104" s="15">
        <f t="shared" si="2"/>
        <v>4.927233974118741E-3</v>
      </c>
      <c r="F104" s="100"/>
      <c r="G104" s="15"/>
      <c r="H104" s="9" t="s">
        <v>476</v>
      </c>
      <c r="I104" s="9" t="s">
        <v>503</v>
      </c>
      <c r="J104" s="9" t="s">
        <v>129</v>
      </c>
    </row>
    <row r="105" spans="1:10" x14ac:dyDescent="0.3">
      <c r="A105" s="6" t="s">
        <v>504</v>
      </c>
      <c r="B105" s="13">
        <v>75.83</v>
      </c>
      <c r="C105" s="13">
        <v>11953.79</v>
      </c>
      <c r="D105" s="8" t="s">
        <v>22</v>
      </c>
      <c r="E105" s="15">
        <f t="shared" si="2"/>
        <v>6.3435947929485117E-3</v>
      </c>
      <c r="F105" s="100"/>
      <c r="G105" s="15"/>
      <c r="H105" s="9" t="s">
        <v>476</v>
      </c>
      <c r="I105" s="9" t="s">
        <v>417</v>
      </c>
      <c r="J105" s="9" t="s">
        <v>129</v>
      </c>
    </row>
    <row r="106" spans="1:10" x14ac:dyDescent="0.3">
      <c r="A106" s="6" t="s">
        <v>505</v>
      </c>
      <c r="B106" s="13">
        <v>9.8699999999999992</v>
      </c>
      <c r="C106" s="13">
        <v>10002.61</v>
      </c>
      <c r="D106" s="8" t="s">
        <v>22</v>
      </c>
      <c r="E106" s="15">
        <f t="shared" si="2"/>
        <v>9.8674246021788299E-4</v>
      </c>
      <c r="F106" s="100"/>
      <c r="G106" s="15"/>
      <c r="H106" s="9" t="s">
        <v>476</v>
      </c>
      <c r="I106" s="9" t="s">
        <v>506</v>
      </c>
      <c r="J106" s="9" t="s">
        <v>129</v>
      </c>
    </row>
    <row r="107" spans="1:10" x14ac:dyDescent="0.3">
      <c r="A107" s="6" t="s">
        <v>507</v>
      </c>
      <c r="B107" s="13">
        <v>17.16</v>
      </c>
      <c r="C107" s="13">
        <v>5643.95</v>
      </c>
      <c r="D107" s="8" t="s">
        <v>22</v>
      </c>
      <c r="E107" s="15">
        <f t="shared" si="2"/>
        <v>3.0404238166532307E-3</v>
      </c>
      <c r="F107" s="100"/>
      <c r="G107" s="15"/>
      <c r="H107" s="9" t="s">
        <v>476</v>
      </c>
      <c r="I107" s="9" t="s">
        <v>508</v>
      </c>
      <c r="J107" s="9" t="s">
        <v>129</v>
      </c>
    </row>
    <row r="108" spans="1:10" x14ac:dyDescent="0.3">
      <c r="A108" s="6" t="s">
        <v>509</v>
      </c>
      <c r="B108" s="13">
        <v>4.7699999999999996</v>
      </c>
      <c r="C108" s="13">
        <v>4170.3599999999997</v>
      </c>
      <c r="D108" s="8" t="s">
        <v>22</v>
      </c>
      <c r="E108" s="15">
        <f t="shared" si="2"/>
        <v>1.1437861479584497E-3</v>
      </c>
      <c r="F108" s="100"/>
      <c r="G108" s="15"/>
      <c r="H108" s="9" t="s">
        <v>476</v>
      </c>
      <c r="I108" s="9" t="s">
        <v>510</v>
      </c>
      <c r="J108" s="9" t="s">
        <v>129</v>
      </c>
    </row>
    <row r="109" spans="1:10" x14ac:dyDescent="0.3">
      <c r="A109" s="6" t="s">
        <v>511</v>
      </c>
      <c r="B109" s="13">
        <v>60.1</v>
      </c>
      <c r="C109" s="13">
        <v>3896.81</v>
      </c>
      <c r="D109" s="8" t="s">
        <v>22</v>
      </c>
      <c r="E109" s="15">
        <f t="shared" si="2"/>
        <v>1.542287152825003E-2</v>
      </c>
      <c r="F109" s="100"/>
      <c r="G109" s="15"/>
      <c r="H109" s="9" t="s">
        <v>476</v>
      </c>
      <c r="I109" s="9" t="s">
        <v>486</v>
      </c>
      <c r="J109" s="9" t="s">
        <v>129</v>
      </c>
    </row>
    <row r="110" spans="1:10" x14ac:dyDescent="0.3">
      <c r="A110" s="6" t="s">
        <v>512</v>
      </c>
      <c r="B110" s="13">
        <v>42</v>
      </c>
      <c r="C110" s="13">
        <v>3375.52</v>
      </c>
      <c r="D110" s="8" t="s">
        <v>22</v>
      </c>
      <c r="E110" s="15">
        <f t="shared" si="2"/>
        <v>1.2442527373560221E-2</v>
      </c>
      <c r="F110" s="100"/>
      <c r="G110" s="15"/>
      <c r="H110" s="9" t="s">
        <v>476</v>
      </c>
      <c r="I110" s="9" t="s">
        <v>513</v>
      </c>
      <c r="J110" s="9" t="s">
        <v>134</v>
      </c>
    </row>
    <row r="111" spans="1:10" x14ac:dyDescent="0.3">
      <c r="A111" s="6" t="s">
        <v>514</v>
      </c>
      <c r="B111" s="13">
        <v>9.9700000000000006</v>
      </c>
      <c r="C111" s="13">
        <v>2898.49</v>
      </c>
      <c r="D111" s="8" t="s">
        <v>22</v>
      </c>
      <c r="E111" s="15">
        <f t="shared" si="2"/>
        <v>3.4397220621772031E-3</v>
      </c>
      <c r="F111" s="100"/>
      <c r="G111" s="15"/>
      <c r="H111" s="9" t="s">
        <v>476</v>
      </c>
      <c r="I111" s="9" t="s">
        <v>510</v>
      </c>
      <c r="J111" s="9" t="s">
        <v>129</v>
      </c>
    </row>
    <row r="112" spans="1:10" x14ac:dyDescent="0.3">
      <c r="A112" s="6" t="s">
        <v>515</v>
      </c>
      <c r="B112" s="13">
        <v>4.92</v>
      </c>
      <c r="C112" s="13">
        <v>1405.45</v>
      </c>
      <c r="D112" s="8" t="s">
        <v>22</v>
      </c>
      <c r="E112" s="15">
        <f t="shared" si="2"/>
        <v>3.5006581521932474E-3</v>
      </c>
      <c r="F112" s="100"/>
      <c r="G112" s="15"/>
      <c r="H112" s="9" t="s">
        <v>476</v>
      </c>
      <c r="I112" s="9" t="s">
        <v>157</v>
      </c>
      <c r="J112" s="9" t="s">
        <v>129</v>
      </c>
    </row>
    <row r="113" spans="1:10" x14ac:dyDescent="0.3">
      <c r="A113" s="6" t="s">
        <v>516</v>
      </c>
      <c r="B113" s="13">
        <v>2.0699999999999998</v>
      </c>
      <c r="C113" s="13">
        <v>477.05</v>
      </c>
      <c r="D113" s="8" t="s">
        <v>22</v>
      </c>
      <c r="E113" s="15">
        <f t="shared" si="2"/>
        <v>4.3391678021171779E-3</v>
      </c>
      <c r="F113" s="100"/>
      <c r="G113" s="15"/>
      <c r="H113" s="9" t="s">
        <v>476</v>
      </c>
      <c r="I113" s="9" t="s">
        <v>517</v>
      </c>
      <c r="J113" s="9" t="s">
        <v>129</v>
      </c>
    </row>
    <row r="114" spans="1:10" x14ac:dyDescent="0.3">
      <c r="A114" s="6"/>
      <c r="B114" s="13"/>
      <c r="C114" s="13"/>
      <c r="D114" s="8"/>
      <c r="E114" s="109"/>
      <c r="F114" s="100"/>
      <c r="G114" s="109"/>
      <c r="H114" s="9"/>
      <c r="I114" s="9"/>
      <c r="J114" s="9"/>
    </row>
    <row r="115" spans="1:10" x14ac:dyDescent="0.3">
      <c r="A115" s="6"/>
      <c r="B115" s="7"/>
      <c r="C115" s="7"/>
      <c r="D115" s="8"/>
      <c r="E115" s="110"/>
      <c r="F115" s="100"/>
      <c r="G115" s="110"/>
      <c r="H115" s="9"/>
      <c r="I115" s="9"/>
      <c r="J115" s="9"/>
    </row>
    <row r="116" spans="1:10" x14ac:dyDescent="0.3">
      <c r="A116" s="93" t="s">
        <v>340</v>
      </c>
      <c r="B116" s="94"/>
      <c r="C116" s="94">
        <f>B119</f>
        <v>260869.56521739133</v>
      </c>
      <c r="D116" s="95" t="s">
        <v>22</v>
      </c>
      <c r="E116" s="111">
        <f>IFERROR(E144*(B119^E145),0)</f>
        <v>2.8667937934375369E-3</v>
      </c>
      <c r="F116" s="97"/>
      <c r="G116" s="112">
        <f>IFERROR(F144*(B119^F145),0)</f>
        <v>3.2554221252577243E-3</v>
      </c>
      <c r="H116" s="108"/>
      <c r="I116" s="108"/>
      <c r="J116" s="108"/>
    </row>
    <row r="118" spans="1:10" x14ac:dyDescent="0.3">
      <c r="A118" s="163" t="s">
        <v>70</v>
      </c>
      <c r="B118" s="163"/>
    </row>
    <row r="119" spans="1:10" x14ac:dyDescent="0.3">
      <c r="A119" s="6" t="s">
        <v>229</v>
      </c>
      <c r="B119" s="103">
        <f>'Summary - MH'!D25</f>
        <v>260869.56521739133</v>
      </c>
    </row>
    <row r="120" spans="1:10" x14ac:dyDescent="0.3">
      <c r="A120" s="6" t="s">
        <v>230</v>
      </c>
      <c r="B120" s="113">
        <f>B119*E116</f>
        <v>747.85925046196621</v>
      </c>
    </row>
    <row r="121" spans="1:10" x14ac:dyDescent="0.3">
      <c r="A121" s="6" t="s">
        <v>231</v>
      </c>
      <c r="B121" s="113">
        <f>C116*G116</f>
        <v>849.24055441505857</v>
      </c>
      <c r="E121" s="14"/>
    </row>
    <row r="143" spans="2:6" x14ac:dyDescent="0.3">
      <c r="E143" s="65" t="s">
        <v>339</v>
      </c>
      <c r="F143" s="65" t="s">
        <v>65</v>
      </c>
    </row>
    <row r="144" spans="2:6" x14ac:dyDescent="0.3">
      <c r="B144" t="s">
        <v>337</v>
      </c>
      <c r="C144" s="12">
        <f>AVERAGE(E5:E114)</f>
        <v>5.2075341991862333E-3</v>
      </c>
      <c r="E144" s="67" cm="1">
        <f t="array" ref="E144">EXP(INDEX(LINEST(LN(E5:E113),LN(C5:C113),,),1,2))</f>
        <v>2.4540304937383295E-2</v>
      </c>
      <c r="F144" s="67" cm="1">
        <f t="array" ref="F144">IFERROR(EXP(INDEX(LINEST(LN(_xlfn._xlws.FILTER(G5:G113, (C5:C113&gt;0)*(G5:G113&gt;0))), LN(_xlfn._xlws.FILTER(C5:C113, (C5:C113&gt;0)*(G5:G113&gt;0)))), 1, 2)),0)</f>
        <v>1.0166636200223856E-2</v>
      </c>
    </row>
    <row r="145" spans="2:6" x14ac:dyDescent="0.3">
      <c r="B145" t="s">
        <v>338</v>
      </c>
      <c r="C145" s="12">
        <f>STDEV(E5:E114)</f>
        <v>4.1115640636321012E-3</v>
      </c>
      <c r="E145" s="67" cm="1">
        <f t="array" ref="E145">INDEX(LINEST(LN(E5:E113),LN(C5:C113),,),1)</f>
        <v>-0.17215853120505073</v>
      </c>
      <c r="F145" s="67" cm="1">
        <f t="array" ref="F145">IFERROR(INDEX(LINEST(LN(_xlfn._xlws.FILTER(G5:G113, (C5:C113&gt;0)*(G5:G113&gt;0))),LN(_xlfn._xlws.FILTER(C5:C113, (C5:C113&gt;0)*(G5:G113&gt;0)))),1),0)</f>
        <v>-9.1309326197306945E-2</v>
      </c>
    </row>
  </sheetData>
  <mergeCells count="3">
    <mergeCell ref="A1:J1"/>
    <mergeCell ref="A2:J2"/>
    <mergeCell ref="A118:B118"/>
  </mergeCells>
  <pageMargins left="0.7" right="0.7" top="0.75" bottom="0.75" header="0.3" footer="0.3"/>
  <pageSetup scale="4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F0F7-BBFD-4EA0-BE72-9C5180BC255A}">
  <sheetPr>
    <tabColor theme="2" tint="-9.9978637043366805E-2"/>
  </sheetPr>
  <dimension ref="A43:A44"/>
  <sheetViews>
    <sheetView topLeftCell="A25" workbookViewId="0">
      <selection activeCell="M73" sqref="M73"/>
    </sheetView>
  </sheetViews>
  <sheetFormatPr defaultRowHeight="14.4" x14ac:dyDescent="0.3"/>
  <sheetData>
    <row r="43" spans="1:1" x14ac:dyDescent="0.3">
      <c r="A43" t="s">
        <v>81</v>
      </c>
    </row>
    <row r="44" spans="1:1" x14ac:dyDescent="0.3">
      <c r="A44" s="66" t="s">
        <v>82</v>
      </c>
    </row>
  </sheetData>
  <hyperlinks>
    <hyperlink ref="A44" r:id="rId1" location="logarithmic-trendline" xr:uid="{3CF20497-65E8-4339-ADA0-A909BBA96E13}"/>
  </hyperlinks>
  <pageMargins left="0.7" right="0.7" top="0.75" bottom="0.75" header="0.3" footer="0.3"/>
  <pageSetup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D502-9554-44B1-BD8B-E675DE27814A}">
  <sheetPr>
    <tabColor theme="2" tint="-9.9978637043366805E-2"/>
  </sheetPr>
  <dimension ref="A1:B9"/>
  <sheetViews>
    <sheetView workbookViewId="0">
      <selection activeCell="B10" sqref="B10"/>
    </sheetView>
  </sheetViews>
  <sheetFormatPr defaultRowHeight="14.4" x14ac:dyDescent="0.3"/>
  <cols>
    <col min="1" max="1" width="40.77734375" style="61" customWidth="1"/>
  </cols>
  <sheetData>
    <row r="1" spans="1:2" x14ac:dyDescent="0.3">
      <c r="A1" s="65" t="s">
        <v>228</v>
      </c>
    </row>
    <row r="2" spans="1:2" x14ac:dyDescent="0.3">
      <c r="A2" s="61" t="s">
        <v>189</v>
      </c>
    </row>
    <row r="3" spans="1:2" x14ac:dyDescent="0.3">
      <c r="A3" s="61" t="s">
        <v>190</v>
      </c>
    </row>
    <row r="4" spans="1:2" x14ac:dyDescent="0.3">
      <c r="A4" s="61" t="s">
        <v>191</v>
      </c>
    </row>
    <row r="5" spans="1:2" x14ac:dyDescent="0.3">
      <c r="A5" s="61" t="s">
        <v>192</v>
      </c>
    </row>
    <row r="6" spans="1:2" x14ac:dyDescent="0.3">
      <c r="A6" s="61" t="s">
        <v>193</v>
      </c>
    </row>
    <row r="8" spans="1:2" x14ac:dyDescent="0.3">
      <c r="A8" s="61" t="s">
        <v>333</v>
      </c>
      <c r="B8">
        <v>2.85</v>
      </c>
    </row>
    <row r="9" spans="1:2" x14ac:dyDescent="0.3">
      <c r="A9" s="61" t="s">
        <v>334</v>
      </c>
      <c r="B9" s="87">
        <v>64.5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E358B9490DF48A99CB9326670CAF4" ma:contentTypeVersion="5" ma:contentTypeDescription="Create a new document." ma:contentTypeScope="" ma:versionID="c700b27380843a11480a70dab2e79c0b">
  <xsd:schema xmlns:xsd="http://www.w3.org/2001/XMLSchema" xmlns:xs="http://www.w3.org/2001/XMLSchema" xmlns:p="http://schemas.microsoft.com/office/2006/metadata/properties" xmlns:ns2="211835a9-41dd-4ecd-80d0-aea260139fbc" xmlns:ns3="1ece982b-0660-4c7e-892f-646bf7153cd1" targetNamespace="http://schemas.microsoft.com/office/2006/metadata/properties" ma:root="true" ma:fieldsID="b4aa9e75372c081392d0c98c0c418efd" ns2:_="" ns3:_="">
    <xsd:import namespace="211835a9-41dd-4ecd-80d0-aea260139fbc"/>
    <xsd:import namespace="1ece982b-0660-4c7e-892f-646bf7153cd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1835a9-41dd-4ecd-80d0-aea260139fb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e982b-0660-4c7e-892f-646bf7153c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11835a9-41dd-4ecd-80d0-aea260139fbc">DEXEKDTMVS4R-1852445618-56</_dlc_DocId>
    <_dlc_DocIdUrl xmlns="211835a9-41dd-4ecd-80d0-aea260139fbc">
      <Url>https://portal.kiewit.com/sites/gw20055816-26/_layouts/15/DocIdRedir.aspx?ID=DEXEKDTMVS4R-1852445618-56</Url>
      <Description>DEXEKDTMVS4R-1852445618-56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C2FA0-C984-4DF1-9B8C-F534C1BEFE62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89EE1634-F5F7-4EE6-8596-AD765F403A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1835a9-41dd-4ecd-80d0-aea260139fbc"/>
    <ds:schemaRef ds:uri="1ece982b-0660-4c7e-892f-646bf7153c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DAD5B7-C075-4100-8B7F-D1EB6B71D434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1ece982b-0660-4c7e-892f-646bf7153cd1"/>
    <ds:schemaRef ds:uri="211835a9-41dd-4ecd-80d0-aea260139fbc"/>
    <ds:schemaRef ds:uri="http://purl.org/dc/dcmitype/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8963B6DC-1F24-476B-8595-8FE3A5A8D7A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13</vt:i4>
      </vt:variant>
    </vt:vector>
  </HeadingPairs>
  <TitlesOfParts>
    <vt:vector size="31" baseType="lpstr">
      <vt:lpstr>Summary - MH</vt:lpstr>
      <vt:lpstr>DIG_DEL</vt:lpstr>
      <vt:lpstr>DRN</vt:lpstr>
      <vt:lpstr>MOT</vt:lpstr>
      <vt:lpstr>RDWY</vt:lpstr>
      <vt:lpstr>TRF</vt:lpstr>
      <vt:lpstr>UTL</vt:lpstr>
      <vt:lpstr>RWAL</vt:lpstr>
      <vt:lpstr>NWAL</vt:lpstr>
      <vt:lpstr>STR</vt:lpstr>
      <vt:lpstr>MSRT</vt:lpstr>
      <vt:lpstr>GEO</vt:lpstr>
      <vt:lpstr>SYS</vt:lpstr>
      <vt:lpstr>TRK</vt:lpstr>
      <vt:lpstr>ESDC</vt:lpstr>
      <vt:lpstr>TSCD</vt:lpstr>
      <vt:lpstr>Notes</vt:lpstr>
      <vt:lpstr>Dropdowns</vt:lpstr>
      <vt:lpstr>DRN!Print_Area</vt:lpstr>
      <vt:lpstr>ESDC!Print_Area</vt:lpstr>
      <vt:lpstr>GEO!Print_Area</vt:lpstr>
      <vt:lpstr>MOT!Print_Area</vt:lpstr>
      <vt:lpstr>MSRT!Print_Area</vt:lpstr>
      <vt:lpstr>NWAL!Print_Area</vt:lpstr>
      <vt:lpstr>RDWY!Print_Area</vt:lpstr>
      <vt:lpstr>RWAL!Print_Area</vt:lpstr>
      <vt:lpstr>SYS!Print_Area</vt:lpstr>
      <vt:lpstr>TRF!Print_Area</vt:lpstr>
      <vt:lpstr>TRK!Print_Area</vt:lpstr>
      <vt:lpstr>TSCD!Print_Area</vt:lpstr>
      <vt:lpstr>UTL!Print_Area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kurtis.pfeifer</dc:creator>
  <cp:lastModifiedBy>Vinita.Wagh</cp:lastModifiedBy>
  <cp:lastPrinted>2026-02-03T22:27:01Z</cp:lastPrinted>
  <dcterms:created xsi:type="dcterms:W3CDTF">2025-05-09T14:32:14Z</dcterms:created>
  <dcterms:modified xsi:type="dcterms:W3CDTF">2026-02-19T19:48:45Z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  <property fmtid="{D5CDD505-2E9C-101B-9397-08002B2CF9AE}" pid="36" name="ContentTypeId">
    <vt:lpwstr>0x010100438E358B9490DF48A99CB9326670CAF4</vt:lpwstr>
  </property>
  <property fmtid="{D5CDD505-2E9C-101B-9397-08002B2CF9AE}" pid="37" name="_dlc_DocIdItemGuid">
    <vt:lpwstr>7b7939be-05c5-45c4-a2d2-a78648bc9514</vt:lpwstr>
  </property>
</Properties>
</file>